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nel.aldebert\Repositories\modele-alm-polars-v2\rss\rapports\"/>
    </mc:Choice>
  </mc:AlternateContent>
  <xr:revisionPtr revIDLastSave="0" documentId="13_ncr:1_{2F71E896-082C-4361-8F58-A8DC2B2CAC32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AnalyseDeterministe" sheetId="1" r:id="rId1"/>
    <sheet name="PrdAdBilan" sheetId="2" r:id="rId2"/>
    <sheet name="PrdAdPassifEp" sheetId="3" r:id="rId3"/>
    <sheet name="PrdAdActif" sheetId="4" r:id="rId4"/>
    <sheet name="PrdAdPpb" sheetId="5" r:id="rId5"/>
  </sheets>
  <definedNames>
    <definedName name="adBilanCapPropres">AnalyseDeterministe!A$190</definedName>
    <definedName name="adBilanFuite">AnalyseDeterministe!A$199</definedName>
    <definedName name="adBilanFuiteCalc">AnalyseDeterministe!A$201</definedName>
    <definedName name="adBilanPpb">AnalyseDeterministe!A$192</definedName>
    <definedName name="adBilanPpbCalc">AnalyseDeterministe!A$205</definedName>
    <definedName name="adBilanPpbDelta">AnalyseDeterministe!A$169</definedName>
    <definedName name="adBilanPpbPrec">AnalyseDeterministe!XFD$192</definedName>
    <definedName name="adBilanResCapi">AnalyseDeterministe!A$194</definedName>
    <definedName name="adBilanResCapiPrec">AnalyseDeterministe!XFD$194</definedName>
    <definedName name="adBilanVcPassifTot">AnalyseDeterministe!A$197</definedName>
    <definedName name="adBilanVcTot">AnalyseDeterministe!A$187</definedName>
    <definedName name="adCfPassifPerf">AnalyseDeterministe!A$32</definedName>
    <definedName name="adChgtPfi">AnalyseDeterministe!A$158</definedName>
    <definedName name="adChgtVcMoy">AnalyseDeterministe!A$141</definedName>
    <definedName name="adCrFi">AnalyseDeterministe!A$160</definedName>
    <definedName name="adCrFiCalc">AnalyseDeterministe!A$161</definedName>
    <definedName name="adCrSoldePb">AnalyseDeterministe!A$175</definedName>
    <definedName name="adCrTech">AnalyseDeterministe!A$142</definedName>
    <definedName name="adDeflDebut">AnalyseDeterministe!A$242</definedName>
    <definedName name="adDeflFin">AnalyseDeterministe!A$243</definedName>
    <definedName name="adFacteurInflation">AnalyseDeterministe!A$239</definedName>
    <definedName name="adFgseEu">AnalyseDeterministe!A$140</definedName>
    <definedName name="adFgseUc">AnalyseDeterministe!A$101</definedName>
    <definedName name="adFgxPlct">AnalyseDeterministe!A$228</definedName>
    <definedName name="adFgxPm">AnalyseDeterministe!A$226</definedName>
    <definedName name="adFgxPrst">AnalyseDeterministe!A$227</definedName>
    <definedName name="adFgxTot">AnalyseDeterministe!A$229</definedName>
    <definedName name="adMrgBeg">AnalyseDeterministe!A$171</definedName>
    <definedName name="adPfisPerfObligation">AnalyseDeterministe!A$26</definedName>
    <definedName name="adPfisPerfTotal">AnalyseDeterministe!A$30</definedName>
    <definedName name="adPfisStratInvTotal">AnalyseDeterministe!A$38</definedName>
    <definedName name="adPfisTotObligation">AnalyseDeterministe!A$147</definedName>
    <definedName name="adPfisTotTot">AnalyseDeterministe!A$151</definedName>
    <definedName name="adPmDebut">AnalyseDeterministe!A$96</definedName>
    <definedName name="adPmFin">AnalyseDeterministe!A$98</definedName>
    <definedName name="adPmFinCalc">AnalyseDeterministe!A$124</definedName>
    <definedName name="adPmPb">AnalyseDeterministe!A$122</definedName>
    <definedName name="adPmPerf">AnalyseDeterministe!A$97</definedName>
    <definedName name="adPmvlFin">AnalyseDeterministe!A$84</definedName>
    <definedName name="adProjCdCanton">AnalyseDeterministe!$D$4</definedName>
    <definedName name="adProjChocS2">AnalyseDeterministe!$D$2</definedName>
    <definedName name="adProjChocS2Gse">AnalyseDeterministe!$D$7</definedName>
    <definedName name="adProjHorizon">AnalyseDeterministe!$D$5</definedName>
    <definedName name="adProjIteration">AnalyseDeterministe!A$11</definedName>
    <definedName name="adProjScenario">AnalyseDeterministe!$D$3</definedName>
    <definedName name="adPrstArrNet">AnalyseDeterministe!A$104</definedName>
    <definedName name="adPrstDcNet">AnalyseDeterministe!A$106</definedName>
    <definedName name="adPrstRtNet">AnalyseDeterministe!A$108</definedName>
    <definedName name="adPrstTotChgt">AnalyseDeterministe!A$117</definedName>
    <definedName name="adPrstTotNet">AnalyseDeterministe!A$110</definedName>
    <definedName name="adReportPertesPrec">AnalyseDeterministe!XFD$182</definedName>
    <definedName name="adResCapiDelta">AnalyseDeterministe!A$153</definedName>
    <definedName name="adVcFinTotPrec">AnalyseDeterministe!XFD$17</definedName>
    <definedName name="adVcPerfOblig">AnalyseDeterministe!A$20</definedName>
    <definedName name="adVcPerfTotal">AnalyseDeterministe!A$24</definedName>
    <definedName name="adVcStratInvFuite">AnalyseDeterministe!A$39</definedName>
    <definedName name="adVcStratInvTotal">AnalyseDeterministe!A$37</definedName>
    <definedName name="adVmFinTotPrec">AnalyseDeterministe!XFD$77</definedName>
    <definedName name="adVmFuiteEcoCalc">AnalyseDeterministe!A$51</definedName>
    <definedName name="adVmPerfOblig">AnalyseDeterministe!A$43</definedName>
    <definedName name="adVmPerfTot">AnalyseDeterministe!A$47</definedName>
    <definedName name="adVmStratInvAction">AnalyseDeterministe!A$59</definedName>
    <definedName name="adVmStratInvCash">AnalyseDeterministe!A$60</definedName>
    <definedName name="adVmStratInvImmobilier">AnalyseDeterministe!A$58</definedName>
    <definedName name="adVmStratInvObligation">AnalyseDeterministe!A$57</definedName>
    <definedName name="adVmStratInvTot">AnalyseDeterministe!A$61</definedName>
    <definedName name="prdAdChocS2Inflation">AnalyseDeterministe!$D$8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0" i="1" l="1"/>
  <c r="BB229" i="1"/>
  <c r="BB233" i="1" s="1"/>
  <c r="BA229" i="1"/>
  <c r="AZ229" i="1"/>
  <c r="AZ233" i="1" s="1"/>
  <c r="AY229" i="1"/>
  <c r="AY233" i="1" s="1"/>
  <c r="AX229" i="1"/>
  <c r="AX233" i="1" s="1"/>
  <c r="AW229" i="1"/>
  <c r="AW233" i="1" s="1"/>
  <c r="AV229" i="1"/>
  <c r="AV233" i="1" s="1"/>
  <c r="AU229" i="1"/>
  <c r="AT229" i="1"/>
  <c r="AT233" i="1" s="1"/>
  <c r="AS229" i="1"/>
  <c r="AR229" i="1"/>
  <c r="AR233" i="1" s="1"/>
  <c r="AQ229" i="1"/>
  <c r="AQ233" i="1" s="1"/>
  <c r="AP229" i="1"/>
  <c r="AP233" i="1" s="1"/>
  <c r="AO229" i="1"/>
  <c r="AO233" i="1" s="1"/>
  <c r="AN229" i="1"/>
  <c r="AN233" i="1" s="1"/>
  <c r="AM229" i="1"/>
  <c r="AL229" i="1"/>
  <c r="AL233" i="1" s="1"/>
  <c r="AK229" i="1"/>
  <c r="AJ229" i="1"/>
  <c r="AJ233" i="1" s="1"/>
  <c r="AI229" i="1"/>
  <c r="AI233" i="1" s="1"/>
  <c r="AH229" i="1"/>
  <c r="AH233" i="1" s="1"/>
  <c r="AG229" i="1"/>
  <c r="AG233" i="1" s="1"/>
  <c r="AF229" i="1"/>
  <c r="AF233" i="1" s="1"/>
  <c r="AE229" i="1"/>
  <c r="AD229" i="1"/>
  <c r="AD233" i="1" s="1"/>
  <c r="AC229" i="1"/>
  <c r="AB229" i="1"/>
  <c r="AB233" i="1" s="1"/>
  <c r="AA229" i="1"/>
  <c r="AA233" i="1" s="1"/>
  <c r="Z229" i="1"/>
  <c r="Z233" i="1" s="1"/>
  <c r="Y229" i="1"/>
  <c r="Y233" i="1" s="1"/>
  <c r="X229" i="1"/>
  <c r="X233" i="1" s="1"/>
  <c r="W229" i="1"/>
  <c r="V229" i="1"/>
  <c r="V233" i="1" s="1"/>
  <c r="U229" i="1"/>
  <c r="T229" i="1"/>
  <c r="T233" i="1" s="1"/>
  <c r="S229" i="1"/>
  <c r="S233" i="1" s="1"/>
  <c r="R229" i="1"/>
  <c r="R233" i="1" s="1"/>
  <c r="Q229" i="1"/>
  <c r="Q233" i="1" s="1"/>
  <c r="P229" i="1"/>
  <c r="P233" i="1" s="1"/>
  <c r="O229" i="1"/>
  <c r="N229" i="1"/>
  <c r="N233" i="1" s="1"/>
  <c r="M229" i="1"/>
  <c r="L229" i="1"/>
  <c r="L233" i="1" s="1"/>
  <c r="K229" i="1"/>
  <c r="K233" i="1" s="1"/>
  <c r="J229" i="1"/>
  <c r="J233" i="1" s="1"/>
  <c r="I229" i="1"/>
  <c r="I233" i="1" s="1"/>
  <c r="H229" i="1"/>
  <c r="H233" i="1" s="1"/>
  <c r="G229" i="1"/>
  <c r="F229" i="1"/>
  <c r="F233" i="1" s="1"/>
  <c r="E229" i="1"/>
  <c r="BB228" i="1"/>
  <c r="BA228" i="1"/>
  <c r="AZ228" i="1"/>
  <c r="AY228" i="1"/>
  <c r="AX228" i="1"/>
  <c r="AW228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J228" i="1"/>
  <c r="I228" i="1"/>
  <c r="H228" i="1"/>
  <c r="G228" i="1"/>
  <c r="F228" i="1"/>
  <c r="E228" i="1"/>
  <c r="BB227" i="1"/>
  <c r="BA227" i="1"/>
  <c r="AZ227" i="1"/>
  <c r="AY227" i="1"/>
  <c r="AX227" i="1"/>
  <c r="AW227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K227" i="1"/>
  <c r="J227" i="1"/>
  <c r="I227" i="1"/>
  <c r="H227" i="1"/>
  <c r="G227" i="1"/>
  <c r="F227" i="1"/>
  <c r="E227" i="1"/>
  <c r="BB226" i="1"/>
  <c r="BA226" i="1"/>
  <c r="AZ226" i="1"/>
  <c r="AY226" i="1"/>
  <c r="AX226" i="1"/>
  <c r="AW226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J226" i="1"/>
  <c r="I226" i="1"/>
  <c r="H226" i="1"/>
  <c r="G226" i="1"/>
  <c r="F226" i="1"/>
  <c r="E226" i="1"/>
  <c r="BB221" i="1"/>
  <c r="BA221" i="1"/>
  <c r="AZ221" i="1"/>
  <c r="AY221" i="1"/>
  <c r="AX221" i="1"/>
  <c r="AW221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J221" i="1"/>
  <c r="I221" i="1"/>
  <c r="H221" i="1"/>
  <c r="G221" i="1"/>
  <c r="F221" i="1"/>
  <c r="E221" i="1"/>
  <c r="D221" i="1"/>
  <c r="BB220" i="1"/>
  <c r="BA220" i="1"/>
  <c r="AZ220" i="1"/>
  <c r="AY220" i="1"/>
  <c r="AX220" i="1"/>
  <c r="AW220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J220" i="1"/>
  <c r="I220" i="1"/>
  <c r="H220" i="1"/>
  <c r="G220" i="1"/>
  <c r="F220" i="1"/>
  <c r="E220" i="1"/>
  <c r="D220" i="1"/>
  <c r="BB219" i="1"/>
  <c r="BA219" i="1"/>
  <c r="AZ219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J219" i="1"/>
  <c r="I219" i="1"/>
  <c r="H219" i="1"/>
  <c r="G219" i="1"/>
  <c r="F219" i="1"/>
  <c r="E219" i="1"/>
  <c r="D219" i="1"/>
  <c r="BB218" i="1"/>
  <c r="BA218" i="1"/>
  <c r="AZ218" i="1"/>
  <c r="AY218" i="1"/>
  <c r="AX218" i="1"/>
  <c r="AW218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J218" i="1"/>
  <c r="I218" i="1"/>
  <c r="H218" i="1"/>
  <c r="G218" i="1"/>
  <c r="F218" i="1"/>
  <c r="E218" i="1"/>
  <c r="D218" i="1"/>
  <c r="BB217" i="1"/>
  <c r="BA217" i="1"/>
  <c r="AZ217" i="1"/>
  <c r="AY217" i="1"/>
  <c r="AX217" i="1"/>
  <c r="AW217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H217" i="1"/>
  <c r="G217" i="1"/>
  <c r="F217" i="1"/>
  <c r="E217" i="1"/>
  <c r="D217" i="1"/>
  <c r="BB216" i="1"/>
  <c r="BA216" i="1"/>
  <c r="AZ216" i="1"/>
  <c r="AY216" i="1"/>
  <c r="AX216" i="1"/>
  <c r="AW216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H216" i="1"/>
  <c r="G216" i="1"/>
  <c r="F216" i="1"/>
  <c r="E216" i="1"/>
  <c r="D216" i="1"/>
  <c r="BB215" i="1"/>
  <c r="BA215" i="1"/>
  <c r="AZ215" i="1"/>
  <c r="AY215" i="1"/>
  <c r="AX215" i="1"/>
  <c r="AW215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BB214" i="1"/>
  <c r="BA214" i="1"/>
  <c r="AZ214" i="1"/>
  <c r="AY214" i="1"/>
  <c r="AX214" i="1"/>
  <c r="AW214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BB213" i="1"/>
  <c r="BA213" i="1"/>
  <c r="AZ213" i="1"/>
  <c r="AY213" i="1"/>
  <c r="AX213" i="1"/>
  <c r="AW213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BB212" i="1"/>
  <c r="BA212" i="1"/>
  <c r="AZ212" i="1"/>
  <c r="AY212" i="1"/>
  <c r="AX212" i="1"/>
  <c r="AW212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BB211" i="1"/>
  <c r="BA211" i="1"/>
  <c r="AZ211" i="1"/>
  <c r="AY211" i="1"/>
  <c r="AX211" i="1"/>
  <c r="AW211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BB210" i="1"/>
  <c r="BA210" i="1"/>
  <c r="AZ210" i="1"/>
  <c r="AY210" i="1"/>
  <c r="AX210" i="1"/>
  <c r="AW210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BB209" i="1"/>
  <c r="BA209" i="1"/>
  <c r="AZ209" i="1"/>
  <c r="AY209" i="1"/>
  <c r="AX209" i="1"/>
  <c r="AW209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BB208" i="1"/>
  <c r="BA208" i="1"/>
  <c r="AZ208" i="1"/>
  <c r="AY208" i="1"/>
  <c r="AX208" i="1"/>
  <c r="AW208" i="1"/>
  <c r="AV208" i="1"/>
  <c r="AU208" i="1"/>
  <c r="AU205" i="1" s="1"/>
  <c r="AT208" i="1"/>
  <c r="AS208" i="1"/>
  <c r="AR208" i="1"/>
  <c r="AQ208" i="1"/>
  <c r="AP208" i="1"/>
  <c r="AO208" i="1"/>
  <c r="AN208" i="1"/>
  <c r="AM208" i="1"/>
  <c r="AM205" i="1" s="1"/>
  <c r="AM206" i="1" s="1"/>
  <c r="AL208" i="1"/>
  <c r="AK208" i="1"/>
  <c r="AJ208" i="1"/>
  <c r="AI208" i="1"/>
  <c r="AH208" i="1"/>
  <c r="AG208" i="1"/>
  <c r="AF208" i="1"/>
  <c r="AE208" i="1"/>
  <c r="AE205" i="1" s="1"/>
  <c r="AD208" i="1"/>
  <c r="AC208" i="1"/>
  <c r="AB208" i="1"/>
  <c r="AA208" i="1"/>
  <c r="Z208" i="1"/>
  <c r="Y208" i="1"/>
  <c r="X208" i="1"/>
  <c r="W208" i="1"/>
  <c r="W205" i="1" s="1"/>
  <c r="W206" i="1" s="1"/>
  <c r="V208" i="1"/>
  <c r="U208" i="1"/>
  <c r="T208" i="1"/>
  <c r="S208" i="1"/>
  <c r="R208" i="1"/>
  <c r="Q208" i="1"/>
  <c r="P208" i="1"/>
  <c r="O208" i="1"/>
  <c r="O205" i="1" s="1"/>
  <c r="N208" i="1"/>
  <c r="M208" i="1"/>
  <c r="L208" i="1"/>
  <c r="K208" i="1"/>
  <c r="J208" i="1"/>
  <c r="I208" i="1"/>
  <c r="H208" i="1"/>
  <c r="G208" i="1"/>
  <c r="F208" i="1"/>
  <c r="E208" i="1"/>
  <c r="D208" i="1"/>
  <c r="BB207" i="1"/>
  <c r="BA207" i="1"/>
  <c r="AZ207" i="1"/>
  <c r="AY207" i="1"/>
  <c r="AX207" i="1"/>
  <c r="AX205" i="1" s="1"/>
  <c r="AW207" i="1"/>
  <c r="AV207" i="1"/>
  <c r="AU207" i="1"/>
  <c r="AT207" i="1"/>
  <c r="AS207" i="1"/>
  <c r="AR207" i="1"/>
  <c r="AQ207" i="1"/>
  <c r="AP207" i="1"/>
  <c r="AP205" i="1" s="1"/>
  <c r="AO207" i="1"/>
  <c r="AN207" i="1"/>
  <c r="AM207" i="1"/>
  <c r="AL207" i="1"/>
  <c r="AK207" i="1"/>
  <c r="AJ207" i="1"/>
  <c r="AI207" i="1"/>
  <c r="AH207" i="1"/>
  <c r="AH205" i="1" s="1"/>
  <c r="AG207" i="1"/>
  <c r="AF207" i="1"/>
  <c r="AE207" i="1"/>
  <c r="AD207" i="1"/>
  <c r="AC207" i="1"/>
  <c r="AB207" i="1"/>
  <c r="AA207" i="1"/>
  <c r="Z207" i="1"/>
  <c r="Z205" i="1" s="1"/>
  <c r="Y207" i="1"/>
  <c r="X207" i="1"/>
  <c r="W207" i="1"/>
  <c r="V207" i="1"/>
  <c r="U207" i="1"/>
  <c r="T207" i="1"/>
  <c r="S207" i="1"/>
  <c r="R207" i="1"/>
  <c r="R205" i="1" s="1"/>
  <c r="Q207" i="1"/>
  <c r="P207" i="1"/>
  <c r="O207" i="1"/>
  <c r="N207" i="1"/>
  <c r="M207" i="1"/>
  <c r="L207" i="1"/>
  <c r="K207" i="1"/>
  <c r="J207" i="1"/>
  <c r="J205" i="1" s="1"/>
  <c r="I207" i="1"/>
  <c r="H207" i="1"/>
  <c r="G207" i="1"/>
  <c r="F207" i="1"/>
  <c r="E207" i="1"/>
  <c r="D207" i="1"/>
  <c r="AX200" i="1"/>
  <c r="AW200" i="1"/>
  <c r="AV200" i="1"/>
  <c r="AP200" i="1"/>
  <c r="AO200" i="1"/>
  <c r="AN200" i="1"/>
  <c r="AI200" i="1"/>
  <c r="AH200" i="1"/>
  <c r="AG200" i="1"/>
  <c r="AF200" i="1"/>
  <c r="Z200" i="1"/>
  <c r="Y200" i="1"/>
  <c r="X200" i="1"/>
  <c r="S200" i="1"/>
  <c r="R200" i="1"/>
  <c r="Q200" i="1"/>
  <c r="P200" i="1"/>
  <c r="J200" i="1"/>
  <c r="I200" i="1"/>
  <c r="H200" i="1"/>
  <c r="BB199" i="1"/>
  <c r="BB200" i="1" s="1"/>
  <c r="BA199" i="1"/>
  <c r="BA200" i="1" s="1"/>
  <c r="AZ199" i="1"/>
  <c r="AZ200" i="1" s="1"/>
  <c r="AY199" i="1"/>
  <c r="AY200" i="1" s="1"/>
  <c r="AX199" i="1"/>
  <c r="AW199" i="1"/>
  <c r="AV199" i="1"/>
  <c r="AU199" i="1"/>
  <c r="AU200" i="1" s="1"/>
  <c r="AT199" i="1"/>
  <c r="AT200" i="1" s="1"/>
  <c r="AS199" i="1"/>
  <c r="AS200" i="1" s="1"/>
  <c r="AR199" i="1"/>
  <c r="AR200" i="1" s="1"/>
  <c r="AQ199" i="1"/>
  <c r="AQ200" i="1" s="1"/>
  <c r="AP199" i="1"/>
  <c r="AO199" i="1"/>
  <c r="AN199" i="1"/>
  <c r="AM199" i="1"/>
  <c r="AM200" i="1" s="1"/>
  <c r="AL199" i="1"/>
  <c r="AL200" i="1" s="1"/>
  <c r="AK199" i="1"/>
  <c r="AK200" i="1" s="1"/>
  <c r="AJ199" i="1"/>
  <c r="AJ200" i="1" s="1"/>
  <c r="AI199" i="1"/>
  <c r="AH199" i="1"/>
  <c r="AG199" i="1"/>
  <c r="AF199" i="1"/>
  <c r="AE199" i="1"/>
  <c r="AE200" i="1" s="1"/>
  <c r="AD199" i="1"/>
  <c r="AD200" i="1" s="1"/>
  <c r="AC199" i="1"/>
  <c r="AC200" i="1" s="1"/>
  <c r="AB199" i="1"/>
  <c r="AB200" i="1" s="1"/>
  <c r="AA199" i="1"/>
  <c r="AA200" i="1" s="1"/>
  <c r="Z199" i="1"/>
  <c r="Y199" i="1"/>
  <c r="X199" i="1"/>
  <c r="W199" i="1"/>
  <c r="W200" i="1" s="1"/>
  <c r="V199" i="1"/>
  <c r="V200" i="1" s="1"/>
  <c r="U199" i="1"/>
  <c r="U200" i="1" s="1"/>
  <c r="T199" i="1"/>
  <c r="T200" i="1" s="1"/>
  <c r="S199" i="1"/>
  <c r="R199" i="1"/>
  <c r="Q199" i="1"/>
  <c r="P199" i="1"/>
  <c r="O199" i="1"/>
  <c r="O200" i="1" s="1"/>
  <c r="N199" i="1"/>
  <c r="N200" i="1" s="1"/>
  <c r="M199" i="1"/>
  <c r="M200" i="1" s="1"/>
  <c r="L199" i="1"/>
  <c r="L200" i="1" s="1"/>
  <c r="K199" i="1"/>
  <c r="K200" i="1" s="1"/>
  <c r="J199" i="1"/>
  <c r="I199" i="1"/>
  <c r="H199" i="1"/>
  <c r="G199" i="1"/>
  <c r="G200" i="1" s="1"/>
  <c r="F199" i="1"/>
  <c r="F200" i="1" s="1"/>
  <c r="E199" i="1"/>
  <c r="E200" i="1" s="1"/>
  <c r="D199" i="1"/>
  <c r="D200" i="1" s="1"/>
  <c r="AR196" i="1"/>
  <c r="AP196" i="1"/>
  <c r="AO196" i="1"/>
  <c r="AO197" i="1" s="1"/>
  <c r="Y196" i="1"/>
  <c r="Y197" i="1" s="1"/>
  <c r="L196" i="1"/>
  <c r="J196" i="1"/>
  <c r="I196" i="1"/>
  <c r="I197" i="1" s="1"/>
  <c r="D196" i="1"/>
  <c r="BB195" i="1"/>
  <c r="BA195" i="1"/>
  <c r="AZ195" i="1"/>
  <c r="AY195" i="1"/>
  <c r="AX195" i="1"/>
  <c r="AW195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BB194" i="1"/>
  <c r="BA194" i="1"/>
  <c r="AZ194" i="1"/>
  <c r="AY194" i="1"/>
  <c r="AX194" i="1"/>
  <c r="AW194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BB193" i="1"/>
  <c r="BA193" i="1"/>
  <c r="AZ193" i="1"/>
  <c r="AY193" i="1"/>
  <c r="AX193" i="1"/>
  <c r="AW193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BB192" i="1"/>
  <c r="BA192" i="1"/>
  <c r="AZ192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E169" i="1" s="1"/>
  <c r="D192" i="1"/>
  <c r="BB191" i="1"/>
  <c r="BA191" i="1"/>
  <c r="AZ191" i="1"/>
  <c r="AY191" i="1"/>
  <c r="AX191" i="1"/>
  <c r="AW191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BB190" i="1"/>
  <c r="BA190" i="1"/>
  <c r="AZ190" i="1"/>
  <c r="AY190" i="1"/>
  <c r="AX190" i="1"/>
  <c r="AW190" i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D197" i="1" s="1"/>
  <c r="AW182" i="1"/>
  <c r="AO182" i="1"/>
  <c r="AG182" i="1"/>
  <c r="Y182" i="1"/>
  <c r="R182" i="1"/>
  <c r="Q182" i="1"/>
  <c r="I182" i="1"/>
  <c r="BB179" i="1"/>
  <c r="BA179" i="1"/>
  <c r="AL179" i="1"/>
  <c r="AK179" i="1"/>
  <c r="AJ179" i="1"/>
  <c r="V179" i="1"/>
  <c r="F179" i="1"/>
  <c r="E179" i="1"/>
  <c r="BB177" i="1"/>
  <c r="BA177" i="1"/>
  <c r="AU177" i="1"/>
  <c r="AT177" i="1"/>
  <c r="AM177" i="1"/>
  <c r="AL177" i="1"/>
  <c r="AK177" i="1"/>
  <c r="AE177" i="1"/>
  <c r="AD177" i="1"/>
  <c r="W177" i="1"/>
  <c r="V177" i="1"/>
  <c r="U177" i="1"/>
  <c r="O177" i="1"/>
  <c r="N177" i="1"/>
  <c r="G177" i="1"/>
  <c r="F177" i="1"/>
  <c r="E177" i="1"/>
  <c r="BB176" i="1"/>
  <c r="BA176" i="1"/>
  <c r="AZ176" i="1"/>
  <c r="AY176" i="1"/>
  <c r="AX176" i="1"/>
  <c r="AW176" i="1"/>
  <c r="AW177" i="1" s="1"/>
  <c r="AV176" i="1"/>
  <c r="AV177" i="1" s="1"/>
  <c r="AU176" i="1"/>
  <c r="AT176" i="1"/>
  <c r="AS176" i="1"/>
  <c r="AR176" i="1"/>
  <c r="AQ176" i="1"/>
  <c r="AP176" i="1"/>
  <c r="AO176" i="1"/>
  <c r="AO177" i="1" s="1"/>
  <c r="AN176" i="1"/>
  <c r="AN177" i="1" s="1"/>
  <c r="AM176" i="1"/>
  <c r="AL176" i="1"/>
  <c r="AK176" i="1"/>
  <c r="AJ176" i="1"/>
  <c r="AI176" i="1"/>
  <c r="AH176" i="1"/>
  <c r="AG176" i="1"/>
  <c r="AG177" i="1" s="1"/>
  <c r="AF176" i="1"/>
  <c r="AF177" i="1" s="1"/>
  <c r="AE176" i="1"/>
  <c r="AD176" i="1"/>
  <c r="AC176" i="1"/>
  <c r="AB176" i="1"/>
  <c r="AA176" i="1"/>
  <c r="Z176" i="1"/>
  <c r="Y176" i="1"/>
  <c r="Y177" i="1" s="1"/>
  <c r="X176" i="1"/>
  <c r="X177" i="1" s="1"/>
  <c r="W176" i="1"/>
  <c r="V176" i="1"/>
  <c r="U176" i="1"/>
  <c r="T176" i="1"/>
  <c r="S176" i="1"/>
  <c r="R176" i="1"/>
  <c r="Q176" i="1"/>
  <c r="Q177" i="1" s="1"/>
  <c r="P176" i="1"/>
  <c r="P177" i="1" s="1"/>
  <c r="O176" i="1"/>
  <c r="N176" i="1"/>
  <c r="M176" i="1"/>
  <c r="L176" i="1"/>
  <c r="K176" i="1"/>
  <c r="J176" i="1"/>
  <c r="I176" i="1"/>
  <c r="I177" i="1" s="1"/>
  <c r="H176" i="1"/>
  <c r="H177" i="1" s="1"/>
  <c r="G176" i="1"/>
  <c r="F176" i="1"/>
  <c r="E176" i="1"/>
  <c r="BB175" i="1"/>
  <c r="BA175" i="1"/>
  <c r="AZ175" i="1"/>
  <c r="AY175" i="1"/>
  <c r="AX175" i="1"/>
  <c r="AW175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J196" i="1" s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BB173" i="1"/>
  <c r="BA173" i="1"/>
  <c r="AZ173" i="1"/>
  <c r="AY173" i="1"/>
  <c r="AX173" i="1"/>
  <c r="AW173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E173" i="1"/>
  <c r="BB171" i="1"/>
  <c r="BA171" i="1"/>
  <c r="AZ171" i="1"/>
  <c r="AY171" i="1"/>
  <c r="AX171" i="1"/>
  <c r="AW171" i="1"/>
  <c r="AW196" i="1" s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G196" i="1" s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Q196" i="1" s="1"/>
  <c r="P171" i="1"/>
  <c r="O171" i="1"/>
  <c r="N171" i="1"/>
  <c r="M171" i="1"/>
  <c r="L171" i="1"/>
  <c r="K171" i="1"/>
  <c r="J171" i="1"/>
  <c r="I171" i="1"/>
  <c r="H171" i="1"/>
  <c r="G171" i="1"/>
  <c r="F171" i="1"/>
  <c r="E171" i="1"/>
  <c r="BB169" i="1"/>
  <c r="BA169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AV167" i="1"/>
  <c r="AU167" i="1"/>
  <c r="AT167" i="1"/>
  <c r="AS167" i="1"/>
  <c r="AK167" i="1"/>
  <c r="AJ167" i="1"/>
  <c r="AE167" i="1"/>
  <c r="W167" i="1"/>
  <c r="V167" i="1"/>
  <c r="U167" i="1"/>
  <c r="G167" i="1"/>
  <c r="F167" i="1"/>
  <c r="BB166" i="1"/>
  <c r="BA166" i="1"/>
  <c r="AZ166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BA165" i="1"/>
  <c r="AZ165" i="1"/>
  <c r="AY165" i="1"/>
  <c r="AK165" i="1"/>
  <c r="AK168" i="1" s="1"/>
  <c r="AJ165" i="1"/>
  <c r="AJ168" i="1" s="1"/>
  <c r="AB165" i="1"/>
  <c r="AA165" i="1"/>
  <c r="M165" i="1"/>
  <c r="L165" i="1"/>
  <c r="K165" i="1"/>
  <c r="BB160" i="1"/>
  <c r="BA160" i="1"/>
  <c r="AZ160" i="1"/>
  <c r="AY160" i="1"/>
  <c r="AX160" i="1"/>
  <c r="AW160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BB151" i="1"/>
  <c r="AY151" i="1"/>
  <c r="AS151" i="1"/>
  <c r="AR151" i="1"/>
  <c r="AQ151" i="1"/>
  <c r="AL151" i="1"/>
  <c r="AI151" i="1"/>
  <c r="AC151" i="1"/>
  <c r="AA151" i="1"/>
  <c r="V151" i="1"/>
  <c r="M151" i="1"/>
  <c r="K151" i="1"/>
  <c r="F151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B149" i="1"/>
  <c r="BA149" i="1"/>
  <c r="AZ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B151" i="1" s="1"/>
  <c r="AA149" i="1"/>
  <c r="Z149" i="1"/>
  <c r="Y149" i="1"/>
  <c r="X149" i="1"/>
  <c r="W149" i="1"/>
  <c r="V149" i="1"/>
  <c r="U149" i="1"/>
  <c r="T149" i="1"/>
  <c r="S149" i="1"/>
  <c r="S151" i="1" s="1"/>
  <c r="R149" i="1"/>
  <c r="Q149" i="1"/>
  <c r="P149" i="1"/>
  <c r="O149" i="1"/>
  <c r="N149" i="1"/>
  <c r="M149" i="1"/>
  <c r="L149" i="1"/>
  <c r="L151" i="1" s="1"/>
  <c r="K149" i="1"/>
  <c r="J149" i="1"/>
  <c r="I149" i="1"/>
  <c r="H149" i="1"/>
  <c r="G149" i="1"/>
  <c r="F149" i="1"/>
  <c r="E149" i="1"/>
  <c r="D149" i="1"/>
  <c r="BB148" i="1"/>
  <c r="BA148" i="1"/>
  <c r="BA151" i="1" s="1"/>
  <c r="AZ148" i="1"/>
  <c r="AY148" i="1"/>
  <c r="AX148" i="1"/>
  <c r="AW148" i="1"/>
  <c r="AV148" i="1"/>
  <c r="AU148" i="1"/>
  <c r="AT148" i="1"/>
  <c r="AT151" i="1" s="1"/>
  <c r="AS148" i="1"/>
  <c r="AR148" i="1"/>
  <c r="AQ148" i="1"/>
  <c r="AP148" i="1"/>
  <c r="AO148" i="1"/>
  <c r="AN148" i="1"/>
  <c r="AM148" i="1"/>
  <c r="AL148" i="1"/>
  <c r="AK148" i="1"/>
  <c r="AK151" i="1" s="1"/>
  <c r="AJ148" i="1"/>
  <c r="AI148" i="1"/>
  <c r="AH148" i="1"/>
  <c r="AG148" i="1"/>
  <c r="AF148" i="1"/>
  <c r="AE148" i="1"/>
  <c r="AD148" i="1"/>
  <c r="AD151" i="1" s="1"/>
  <c r="AC148" i="1"/>
  <c r="AB148" i="1"/>
  <c r="AA148" i="1"/>
  <c r="Z148" i="1"/>
  <c r="Y148" i="1"/>
  <c r="X148" i="1"/>
  <c r="W148" i="1"/>
  <c r="V148" i="1"/>
  <c r="U148" i="1"/>
  <c r="U151" i="1" s="1"/>
  <c r="T148" i="1"/>
  <c r="S148" i="1"/>
  <c r="R148" i="1"/>
  <c r="Q148" i="1"/>
  <c r="P148" i="1"/>
  <c r="O148" i="1"/>
  <c r="N148" i="1"/>
  <c r="N151" i="1" s="1"/>
  <c r="M148" i="1"/>
  <c r="L148" i="1"/>
  <c r="K148" i="1"/>
  <c r="J148" i="1"/>
  <c r="I148" i="1"/>
  <c r="H148" i="1"/>
  <c r="G148" i="1"/>
  <c r="F148" i="1"/>
  <c r="E148" i="1"/>
  <c r="E151" i="1" s="1"/>
  <c r="D148" i="1"/>
  <c r="BB147" i="1"/>
  <c r="BA147" i="1"/>
  <c r="AZ147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AS143" i="1"/>
  <c r="AS144" i="1" s="1"/>
  <c r="AN143" i="1"/>
  <c r="H143" i="1"/>
  <c r="BB142" i="1"/>
  <c r="BA142" i="1"/>
  <c r="AZ142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BB141" i="1"/>
  <c r="BA141" i="1"/>
  <c r="AZ141" i="1"/>
  <c r="AY141" i="1"/>
  <c r="AX141" i="1"/>
  <c r="AW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BB140" i="1"/>
  <c r="BA140" i="1"/>
  <c r="AZ140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AW139" i="1"/>
  <c r="AI139" i="1"/>
  <c r="AH139" i="1"/>
  <c r="AG139" i="1"/>
  <c r="Q139" i="1"/>
  <c r="BB138" i="1"/>
  <c r="BA138" i="1"/>
  <c r="AZ138" i="1"/>
  <c r="AU138" i="1"/>
  <c r="AL138" i="1"/>
  <c r="AJ138" i="1"/>
  <c r="AE138" i="1"/>
  <c r="V138" i="1"/>
  <c r="U138" i="1"/>
  <c r="T138" i="1"/>
  <c r="O138" i="1"/>
  <c r="F138" i="1"/>
  <c r="D138" i="1"/>
  <c r="AO137" i="1"/>
  <c r="AN137" i="1"/>
  <c r="X137" i="1"/>
  <c r="H137" i="1"/>
  <c r="G137" i="1"/>
  <c r="BB132" i="1"/>
  <c r="BA132" i="1"/>
  <c r="AZ132" i="1"/>
  <c r="AY132" i="1"/>
  <c r="AX132" i="1"/>
  <c r="AW132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BB131" i="1"/>
  <c r="BA131" i="1"/>
  <c r="AZ131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BB130" i="1"/>
  <c r="BA130" i="1"/>
  <c r="AZ130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BB129" i="1"/>
  <c r="BA129" i="1"/>
  <c r="AZ129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BB128" i="1"/>
  <c r="BA128" i="1"/>
  <c r="AZ128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BB124" i="1"/>
  <c r="AS124" i="1"/>
  <c r="AM124" i="1"/>
  <c r="AL124" i="1"/>
  <c r="AC124" i="1"/>
  <c r="W124" i="1"/>
  <c r="V124" i="1"/>
  <c r="M124" i="1"/>
  <c r="G124" i="1"/>
  <c r="F124" i="1"/>
  <c r="AN123" i="1"/>
  <c r="AD123" i="1"/>
  <c r="I123" i="1"/>
  <c r="H123" i="1"/>
  <c r="BB122" i="1"/>
  <c r="BB167" i="1" s="1"/>
  <c r="BA122" i="1"/>
  <c r="AZ122" i="1"/>
  <c r="AZ123" i="1" s="1"/>
  <c r="AY122" i="1"/>
  <c r="AX122" i="1"/>
  <c r="AW122" i="1"/>
  <c r="AV122" i="1"/>
  <c r="AV123" i="1" s="1"/>
  <c r="AU122" i="1"/>
  <c r="AU179" i="1" s="1"/>
  <c r="AT122" i="1"/>
  <c r="AT179" i="1" s="1"/>
  <c r="AS122" i="1"/>
  <c r="AR122" i="1"/>
  <c r="AR167" i="1" s="1"/>
  <c r="AQ122" i="1"/>
  <c r="AP122" i="1"/>
  <c r="AO122" i="1"/>
  <c r="AO167" i="1" s="1"/>
  <c r="AN122" i="1"/>
  <c r="AN167" i="1" s="1"/>
  <c r="AM122" i="1"/>
  <c r="AM179" i="1" s="1"/>
  <c r="AL122" i="1"/>
  <c r="AL167" i="1" s="1"/>
  <c r="AK122" i="1"/>
  <c r="AJ122" i="1"/>
  <c r="AJ123" i="1" s="1"/>
  <c r="AI122" i="1"/>
  <c r="AH122" i="1"/>
  <c r="AG122" i="1"/>
  <c r="AF122" i="1"/>
  <c r="AF167" i="1" s="1"/>
  <c r="AE122" i="1"/>
  <c r="AE179" i="1" s="1"/>
  <c r="AD122" i="1"/>
  <c r="AD179" i="1" s="1"/>
  <c r="AC122" i="1"/>
  <c r="AB122" i="1"/>
  <c r="AA122" i="1"/>
  <c r="Z122" i="1"/>
  <c r="Y122" i="1"/>
  <c r="Y167" i="1" s="1"/>
  <c r="X122" i="1"/>
  <c r="X167" i="1" s="1"/>
  <c r="W122" i="1"/>
  <c r="W179" i="1" s="1"/>
  <c r="V122" i="1"/>
  <c r="U122" i="1"/>
  <c r="T122" i="1"/>
  <c r="S122" i="1"/>
  <c r="R122" i="1"/>
  <c r="Q122" i="1"/>
  <c r="P122" i="1"/>
  <c r="P167" i="1" s="1"/>
  <c r="O122" i="1"/>
  <c r="O179" i="1" s="1"/>
  <c r="N122" i="1"/>
  <c r="N179" i="1" s="1"/>
  <c r="M122" i="1"/>
  <c r="L122" i="1"/>
  <c r="K122" i="1"/>
  <c r="J122" i="1"/>
  <c r="I122" i="1"/>
  <c r="I167" i="1" s="1"/>
  <c r="H122" i="1"/>
  <c r="H167" i="1" s="1"/>
  <c r="G122" i="1"/>
  <c r="G179" i="1" s="1"/>
  <c r="F122" i="1"/>
  <c r="E122" i="1"/>
  <c r="D122" i="1"/>
  <c r="D167" i="1" s="1"/>
  <c r="BB121" i="1"/>
  <c r="BA121" i="1"/>
  <c r="AZ121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E123" i="1" s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BB120" i="1"/>
  <c r="BA120" i="1"/>
  <c r="AZ120" i="1"/>
  <c r="AY120" i="1"/>
  <c r="AX120" i="1"/>
  <c r="AX165" i="1" s="1"/>
  <c r="AW120" i="1"/>
  <c r="AW165" i="1" s="1"/>
  <c r="AV120" i="1"/>
  <c r="AV165" i="1" s="1"/>
  <c r="AU120" i="1"/>
  <c r="AU165" i="1" s="1"/>
  <c r="AT120" i="1"/>
  <c r="AT165" i="1" s="1"/>
  <c r="AS120" i="1"/>
  <c r="AS165" i="1" s="1"/>
  <c r="AS168" i="1" s="1"/>
  <c r="AR120" i="1"/>
  <c r="AR165" i="1" s="1"/>
  <c r="AQ120" i="1"/>
  <c r="AQ165" i="1" s="1"/>
  <c r="AP120" i="1"/>
  <c r="AP165" i="1" s="1"/>
  <c r="AO120" i="1"/>
  <c r="AO165" i="1" s="1"/>
  <c r="AO168" i="1" s="1"/>
  <c r="AN120" i="1"/>
  <c r="AN165" i="1" s="1"/>
  <c r="AN168" i="1" s="1"/>
  <c r="AM120" i="1"/>
  <c r="AL120" i="1"/>
  <c r="AK120" i="1"/>
  <c r="AJ120" i="1"/>
  <c r="AI120" i="1"/>
  <c r="AI165" i="1" s="1"/>
  <c r="AH120" i="1"/>
  <c r="AH165" i="1" s="1"/>
  <c r="AG120" i="1"/>
  <c r="AG165" i="1" s="1"/>
  <c r="AF120" i="1"/>
  <c r="AF165" i="1" s="1"/>
  <c r="AE120" i="1"/>
  <c r="AE165" i="1" s="1"/>
  <c r="AE168" i="1" s="1"/>
  <c r="AD120" i="1"/>
  <c r="AD165" i="1" s="1"/>
  <c r="AC120" i="1"/>
  <c r="AC165" i="1" s="1"/>
  <c r="AB120" i="1"/>
  <c r="AA120" i="1"/>
  <c r="Z120" i="1"/>
  <c r="Z165" i="1" s="1"/>
  <c r="Y120" i="1"/>
  <c r="Y165" i="1" s="1"/>
  <c r="Y168" i="1" s="1"/>
  <c r="X120" i="1"/>
  <c r="X165" i="1" s="1"/>
  <c r="X168" i="1" s="1"/>
  <c r="W120" i="1"/>
  <c r="V120" i="1"/>
  <c r="U120" i="1"/>
  <c r="U165" i="1" s="1"/>
  <c r="T120" i="1"/>
  <c r="T165" i="1" s="1"/>
  <c r="S120" i="1"/>
  <c r="S165" i="1" s="1"/>
  <c r="R120" i="1"/>
  <c r="R165" i="1" s="1"/>
  <c r="Q120" i="1"/>
  <c r="Q165" i="1" s="1"/>
  <c r="P120" i="1"/>
  <c r="P165" i="1" s="1"/>
  <c r="P168" i="1" s="1"/>
  <c r="O120" i="1"/>
  <c r="O165" i="1" s="1"/>
  <c r="N120" i="1"/>
  <c r="N165" i="1" s="1"/>
  <c r="M120" i="1"/>
  <c r="L120" i="1"/>
  <c r="K120" i="1"/>
  <c r="J120" i="1"/>
  <c r="J165" i="1" s="1"/>
  <c r="I120" i="1"/>
  <c r="I165" i="1" s="1"/>
  <c r="I168" i="1" s="1"/>
  <c r="H120" i="1"/>
  <c r="H165" i="1" s="1"/>
  <c r="G120" i="1"/>
  <c r="F120" i="1"/>
  <c r="E120" i="1"/>
  <c r="E165" i="1" s="1"/>
  <c r="D120" i="1"/>
  <c r="D165" i="1" s="1"/>
  <c r="BB117" i="1"/>
  <c r="BA117" i="1"/>
  <c r="AZ117" i="1"/>
  <c r="AY117" i="1"/>
  <c r="AY139" i="1" s="1"/>
  <c r="AX117" i="1"/>
  <c r="AX139" i="1" s="1"/>
  <c r="AW117" i="1"/>
  <c r="AV117" i="1"/>
  <c r="AU117" i="1"/>
  <c r="AU139" i="1" s="1"/>
  <c r="AT117" i="1"/>
  <c r="AS117" i="1"/>
  <c r="AR117" i="1"/>
  <c r="AQ117" i="1"/>
  <c r="AP117" i="1"/>
  <c r="AO117" i="1"/>
  <c r="AN117" i="1"/>
  <c r="AM117" i="1"/>
  <c r="AM139" i="1" s="1"/>
  <c r="AL117" i="1"/>
  <c r="AK117" i="1"/>
  <c r="AJ117" i="1"/>
  <c r="AI117" i="1"/>
  <c r="AH117" i="1"/>
  <c r="AG117" i="1"/>
  <c r="AF117" i="1"/>
  <c r="AE117" i="1"/>
  <c r="AE139" i="1" s="1"/>
  <c r="AD117" i="1"/>
  <c r="AC117" i="1"/>
  <c r="AB117" i="1"/>
  <c r="AA117" i="1"/>
  <c r="Z117" i="1"/>
  <c r="Y117" i="1"/>
  <c r="X117" i="1"/>
  <c r="W117" i="1"/>
  <c r="W139" i="1" s="1"/>
  <c r="V117" i="1"/>
  <c r="U117" i="1"/>
  <c r="T117" i="1"/>
  <c r="S117" i="1"/>
  <c r="S139" i="1" s="1"/>
  <c r="R117" i="1"/>
  <c r="R139" i="1" s="1"/>
  <c r="Q117" i="1"/>
  <c r="P117" i="1"/>
  <c r="O117" i="1"/>
  <c r="O139" i="1" s="1"/>
  <c r="N117" i="1"/>
  <c r="M117" i="1"/>
  <c r="L117" i="1"/>
  <c r="K117" i="1"/>
  <c r="J117" i="1"/>
  <c r="I117" i="1"/>
  <c r="H117" i="1"/>
  <c r="G117" i="1"/>
  <c r="G139" i="1" s="1"/>
  <c r="F117" i="1"/>
  <c r="E117" i="1"/>
  <c r="D117" i="1"/>
  <c r="D139" i="1" s="1"/>
  <c r="BB116" i="1"/>
  <c r="BA116" i="1"/>
  <c r="AZ116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BB115" i="1"/>
  <c r="BA115" i="1"/>
  <c r="AZ115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AR111" i="1"/>
  <c r="AL111" i="1"/>
  <c r="AC111" i="1"/>
  <c r="H111" i="1"/>
  <c r="BB110" i="1"/>
  <c r="BA110" i="1"/>
  <c r="BA111" i="1" s="1"/>
  <c r="AZ110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M138" i="1" s="1"/>
  <c r="AL110" i="1"/>
  <c r="AK110" i="1"/>
  <c r="AK138" i="1" s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W138" i="1" s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G138" i="1" s="1"/>
  <c r="F110" i="1"/>
  <c r="E110" i="1"/>
  <c r="E138" i="1" s="1"/>
  <c r="D110" i="1"/>
  <c r="BA109" i="1"/>
  <c r="AV109" i="1"/>
  <c r="AU109" i="1"/>
  <c r="AS109" i="1"/>
  <c r="AN109" i="1"/>
  <c r="AK109" i="1"/>
  <c r="AF109" i="1"/>
  <c r="AC109" i="1"/>
  <c r="X109" i="1"/>
  <c r="U109" i="1"/>
  <c r="P109" i="1"/>
  <c r="M109" i="1"/>
  <c r="H109" i="1"/>
  <c r="E109" i="1"/>
  <c r="BB108" i="1"/>
  <c r="BA108" i="1"/>
  <c r="AZ108" i="1"/>
  <c r="AY108" i="1"/>
  <c r="AX108" i="1"/>
  <c r="AW108" i="1"/>
  <c r="AV108" i="1"/>
  <c r="AU108" i="1"/>
  <c r="AU111" i="1" s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BA107" i="1"/>
  <c r="AY107" i="1"/>
  <c r="AX107" i="1"/>
  <c r="AW107" i="1"/>
  <c r="AR107" i="1"/>
  <c r="AQ107" i="1"/>
  <c r="AP107" i="1"/>
  <c r="AO107" i="1"/>
  <c r="AI107" i="1"/>
  <c r="AH107" i="1"/>
  <c r="AG107" i="1"/>
  <c r="AB107" i="1"/>
  <c r="Z107" i="1"/>
  <c r="Y107" i="1"/>
  <c r="U107" i="1"/>
  <c r="S107" i="1"/>
  <c r="R107" i="1"/>
  <c r="Q107" i="1"/>
  <c r="J107" i="1"/>
  <c r="I107" i="1"/>
  <c r="BB106" i="1"/>
  <c r="BA106" i="1"/>
  <c r="AZ106" i="1"/>
  <c r="AY106" i="1"/>
  <c r="AX106" i="1"/>
  <c r="AW106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J107" i="1" s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AV105" i="1"/>
  <c r="AP105" i="1"/>
  <c r="AN105" i="1"/>
  <c r="AF105" i="1"/>
  <c r="Z105" i="1"/>
  <c r="Y105" i="1"/>
  <c r="X105" i="1"/>
  <c r="P105" i="1"/>
  <c r="J105" i="1"/>
  <c r="H105" i="1"/>
  <c r="BB104" i="1"/>
  <c r="BA104" i="1"/>
  <c r="AZ104" i="1"/>
  <c r="AY104" i="1"/>
  <c r="AX104" i="1"/>
  <c r="AW104" i="1"/>
  <c r="AV104" i="1"/>
  <c r="AU104" i="1"/>
  <c r="AT104" i="1"/>
  <c r="AS104" i="1"/>
  <c r="AR104" i="1"/>
  <c r="AQ104" i="1"/>
  <c r="AP104" i="1"/>
  <c r="AO104" i="1"/>
  <c r="AO105" i="1" s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I105" i="1" s="1"/>
  <c r="H104" i="1"/>
  <c r="G104" i="1"/>
  <c r="F104" i="1"/>
  <c r="E104" i="1"/>
  <c r="D104" i="1"/>
  <c r="BB101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BB98" i="1"/>
  <c r="BB125" i="1" s="1"/>
  <c r="BA98" i="1"/>
  <c r="AZ98" i="1"/>
  <c r="AY98" i="1"/>
  <c r="AX98" i="1"/>
  <c r="AW98" i="1"/>
  <c r="AV98" i="1"/>
  <c r="AU98" i="1"/>
  <c r="AU125" i="1" s="1"/>
  <c r="AT98" i="1"/>
  <c r="AT125" i="1" s="1"/>
  <c r="AS98" i="1"/>
  <c r="AR98" i="1"/>
  <c r="AQ98" i="1"/>
  <c r="AP98" i="1"/>
  <c r="AO98" i="1"/>
  <c r="AN98" i="1"/>
  <c r="AM98" i="1"/>
  <c r="AL98" i="1"/>
  <c r="AL125" i="1" s="1"/>
  <c r="AK98" i="1"/>
  <c r="AJ98" i="1"/>
  <c r="AI98" i="1"/>
  <c r="AH98" i="1"/>
  <c r="AG98" i="1"/>
  <c r="AF98" i="1"/>
  <c r="AE98" i="1"/>
  <c r="AE125" i="1" s="1"/>
  <c r="AD98" i="1"/>
  <c r="AD125" i="1" s="1"/>
  <c r="AC98" i="1"/>
  <c r="AB98" i="1"/>
  <c r="AA98" i="1"/>
  <c r="Z98" i="1"/>
  <c r="Y98" i="1"/>
  <c r="X98" i="1"/>
  <c r="W98" i="1"/>
  <c r="W125" i="1" s="1"/>
  <c r="V98" i="1"/>
  <c r="V125" i="1" s="1"/>
  <c r="U98" i="1"/>
  <c r="T98" i="1"/>
  <c r="S98" i="1"/>
  <c r="R98" i="1"/>
  <c r="Q98" i="1"/>
  <c r="P98" i="1"/>
  <c r="O98" i="1"/>
  <c r="O125" i="1" s="1"/>
  <c r="N98" i="1"/>
  <c r="N125" i="1" s="1"/>
  <c r="M98" i="1"/>
  <c r="L98" i="1"/>
  <c r="K98" i="1"/>
  <c r="J98" i="1"/>
  <c r="I98" i="1"/>
  <c r="H98" i="1"/>
  <c r="G98" i="1"/>
  <c r="F98" i="1"/>
  <c r="E98" i="1"/>
  <c r="D98" i="1"/>
  <c r="BB97" i="1"/>
  <c r="BA97" i="1"/>
  <c r="AZ97" i="1"/>
  <c r="AY97" i="1"/>
  <c r="AX97" i="1"/>
  <c r="AW97" i="1"/>
  <c r="AV97" i="1"/>
  <c r="AU97" i="1"/>
  <c r="AU124" i="1" s="1"/>
  <c r="AT97" i="1"/>
  <c r="AT124" i="1" s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E124" i="1" s="1"/>
  <c r="AD97" i="1"/>
  <c r="AD124" i="1" s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O124" i="1" s="1"/>
  <c r="N97" i="1"/>
  <c r="N124" i="1" s="1"/>
  <c r="M97" i="1"/>
  <c r="L97" i="1"/>
  <c r="K97" i="1"/>
  <c r="J97" i="1"/>
  <c r="I97" i="1"/>
  <c r="I137" i="1" s="1"/>
  <c r="H97" i="1"/>
  <c r="G97" i="1"/>
  <c r="F97" i="1"/>
  <c r="E97" i="1"/>
  <c r="D97" i="1"/>
  <c r="BB96" i="1"/>
  <c r="BA96" i="1"/>
  <c r="AZ96" i="1"/>
  <c r="AY96" i="1"/>
  <c r="AX96" i="1"/>
  <c r="AW96" i="1"/>
  <c r="AV96" i="1"/>
  <c r="AV137" i="1" s="1"/>
  <c r="AU96" i="1"/>
  <c r="AT96" i="1"/>
  <c r="AS96" i="1"/>
  <c r="AS137" i="1" s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F137" i="1" s="1"/>
  <c r="AE96" i="1"/>
  <c r="AD96" i="1"/>
  <c r="AC96" i="1"/>
  <c r="AB96" i="1"/>
  <c r="AA96" i="1"/>
  <c r="Z96" i="1"/>
  <c r="Y96" i="1"/>
  <c r="X96" i="1"/>
  <c r="W96" i="1"/>
  <c r="W137" i="1" s="1"/>
  <c r="V96" i="1"/>
  <c r="U96" i="1"/>
  <c r="T96" i="1"/>
  <c r="S96" i="1"/>
  <c r="R96" i="1"/>
  <c r="Q96" i="1"/>
  <c r="P96" i="1"/>
  <c r="P137" i="1" s="1"/>
  <c r="O96" i="1"/>
  <c r="N96" i="1"/>
  <c r="M96" i="1"/>
  <c r="M137" i="1" s="1"/>
  <c r="L96" i="1"/>
  <c r="K96" i="1"/>
  <c r="J96" i="1"/>
  <c r="I96" i="1"/>
  <c r="H96" i="1"/>
  <c r="G96" i="1"/>
  <c r="G105" i="1" s="1"/>
  <c r="F96" i="1"/>
  <c r="E96" i="1"/>
  <c r="D96" i="1"/>
  <c r="BB91" i="1"/>
  <c r="BA91" i="1"/>
  <c r="AZ91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BB90" i="1"/>
  <c r="BA90" i="1"/>
  <c r="AZ90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AW89" i="1" a="1"/>
  <c r="AW89" i="1" s="1"/>
  <c r="W89" i="1" a="1"/>
  <c r="W89" i="1" s="1"/>
  <c r="V89" i="1" a="1"/>
  <c r="V89" i="1" s="1"/>
  <c r="BB88" i="1"/>
  <c r="BA88" i="1"/>
  <c r="AZ88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BB87" i="1"/>
  <c r="BA87" i="1"/>
  <c r="AZ87" i="1"/>
  <c r="AY87" i="1"/>
  <c r="AX87" i="1"/>
  <c r="AW87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AQ83" i="1"/>
  <c r="AJ83" i="1"/>
  <c r="AT82" i="1"/>
  <c r="AE82" i="1"/>
  <c r="AB82" i="1"/>
  <c r="F82" i="1"/>
  <c r="AI81" i="1"/>
  <c r="S81" i="1"/>
  <c r="Q81" i="1"/>
  <c r="AZ80" i="1"/>
  <c r="AS80" i="1"/>
  <c r="AD80" i="1"/>
  <c r="AO77" i="1"/>
  <c r="AK77" i="1"/>
  <c r="U77" i="1"/>
  <c r="P77" i="1"/>
  <c r="BB76" i="1"/>
  <c r="BA76" i="1"/>
  <c r="AZ76" i="1"/>
  <c r="AZ83" i="1" s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G83" i="1" s="1"/>
  <c r="AF76" i="1"/>
  <c r="AE76" i="1"/>
  <c r="AD76" i="1"/>
  <c r="AC76" i="1"/>
  <c r="AB76" i="1"/>
  <c r="AB83" i="1" s="1"/>
  <c r="AA76" i="1"/>
  <c r="Z76" i="1"/>
  <c r="Y76" i="1"/>
  <c r="Y83" i="1" s="1"/>
  <c r="X76" i="1"/>
  <c r="W76" i="1"/>
  <c r="V76" i="1"/>
  <c r="U76" i="1"/>
  <c r="T76" i="1"/>
  <c r="T83" i="1" s="1"/>
  <c r="S76" i="1"/>
  <c r="R76" i="1"/>
  <c r="Q76" i="1"/>
  <c r="P76" i="1"/>
  <c r="O76" i="1"/>
  <c r="N76" i="1"/>
  <c r="M76" i="1"/>
  <c r="M83" i="1" s="1"/>
  <c r="L76" i="1"/>
  <c r="L83" i="1" s="1"/>
  <c r="K76" i="1"/>
  <c r="K83" i="1" s="1"/>
  <c r="J76" i="1"/>
  <c r="I76" i="1"/>
  <c r="I83" i="1" s="1"/>
  <c r="H76" i="1"/>
  <c r="G76" i="1"/>
  <c r="F76" i="1"/>
  <c r="E76" i="1"/>
  <c r="E83" i="1" s="1"/>
  <c r="D76" i="1"/>
  <c r="D83" i="1" s="1"/>
  <c r="BB75" i="1"/>
  <c r="BA75" i="1"/>
  <c r="AZ75" i="1"/>
  <c r="AY75" i="1"/>
  <c r="AX75" i="1"/>
  <c r="AW75" i="1"/>
  <c r="AV75" i="1"/>
  <c r="AV77" i="1" s="1"/>
  <c r="AU75" i="1"/>
  <c r="AU82" i="1" s="1"/>
  <c r="AT75" i="1"/>
  <c r="AS75" i="1"/>
  <c r="AR75" i="1"/>
  <c r="AR82" i="1" s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F77" i="1" s="1"/>
  <c r="AE75" i="1"/>
  <c r="AD75" i="1"/>
  <c r="AC75" i="1"/>
  <c r="AB75" i="1"/>
  <c r="AA75" i="1"/>
  <c r="Z75" i="1"/>
  <c r="Y75" i="1"/>
  <c r="X75" i="1"/>
  <c r="W75" i="1"/>
  <c r="W82" i="1" s="1"/>
  <c r="V75" i="1"/>
  <c r="U75" i="1"/>
  <c r="T75" i="1"/>
  <c r="T82" i="1" s="1"/>
  <c r="S75" i="1"/>
  <c r="R75" i="1"/>
  <c r="Q75" i="1"/>
  <c r="P75" i="1"/>
  <c r="P82" i="1" s="1"/>
  <c r="O75" i="1"/>
  <c r="O82" i="1" s="1"/>
  <c r="N75" i="1"/>
  <c r="N82" i="1" s="1"/>
  <c r="M75" i="1"/>
  <c r="L75" i="1"/>
  <c r="K75" i="1"/>
  <c r="J75" i="1"/>
  <c r="I75" i="1"/>
  <c r="H75" i="1"/>
  <c r="G75" i="1"/>
  <c r="G82" i="1" s="1"/>
  <c r="F75" i="1"/>
  <c r="E75" i="1"/>
  <c r="D75" i="1"/>
  <c r="BB74" i="1"/>
  <c r="BA74" i="1"/>
  <c r="AZ74" i="1"/>
  <c r="AY74" i="1"/>
  <c r="AY81" i="1" s="1"/>
  <c r="AX74" i="1"/>
  <c r="AX81" i="1" s="1"/>
  <c r="AW74" i="1"/>
  <c r="AW81" i="1" s="1"/>
  <c r="AV74" i="1"/>
  <c r="AU74" i="1"/>
  <c r="AU81" i="1" s="1"/>
  <c r="AT74" i="1"/>
  <c r="AS74" i="1"/>
  <c r="AR74" i="1"/>
  <c r="AQ74" i="1"/>
  <c r="AQ81" i="1" s="1"/>
  <c r="AP74" i="1"/>
  <c r="AP81" i="1" s="1"/>
  <c r="AO74" i="1"/>
  <c r="AN74" i="1"/>
  <c r="AM74" i="1"/>
  <c r="AL74" i="1"/>
  <c r="AK74" i="1"/>
  <c r="AJ74" i="1"/>
  <c r="AI74" i="1"/>
  <c r="AH74" i="1"/>
  <c r="AH81" i="1" s="1"/>
  <c r="AG74" i="1"/>
  <c r="AG81" i="1" s="1"/>
  <c r="AF74" i="1"/>
  <c r="AE74" i="1"/>
  <c r="AE77" i="1" s="1"/>
  <c r="AE84" i="1" s="1"/>
  <c r="AD74" i="1"/>
  <c r="AC74" i="1"/>
  <c r="AB74" i="1"/>
  <c r="AA74" i="1"/>
  <c r="Z74" i="1"/>
  <c r="Z81" i="1" s="1"/>
  <c r="Y74" i="1"/>
  <c r="X74" i="1"/>
  <c r="W74" i="1"/>
  <c r="W77" i="1" s="1"/>
  <c r="V74" i="1"/>
  <c r="U74" i="1"/>
  <c r="T74" i="1"/>
  <c r="S74" i="1"/>
  <c r="R74" i="1"/>
  <c r="R81" i="1" s="1"/>
  <c r="Q74" i="1"/>
  <c r="P74" i="1"/>
  <c r="O74" i="1"/>
  <c r="N74" i="1"/>
  <c r="M74" i="1"/>
  <c r="L74" i="1"/>
  <c r="K74" i="1"/>
  <c r="K81" i="1" s="1"/>
  <c r="J74" i="1"/>
  <c r="J81" i="1" s="1"/>
  <c r="I74" i="1"/>
  <c r="H74" i="1"/>
  <c r="G74" i="1"/>
  <c r="G77" i="1" s="1"/>
  <c r="F74" i="1"/>
  <c r="E74" i="1"/>
  <c r="D74" i="1"/>
  <c r="BB73" i="1"/>
  <c r="BB77" i="1" s="1"/>
  <c r="BA73" i="1"/>
  <c r="AZ73" i="1"/>
  <c r="AZ77" i="1" s="1"/>
  <c r="AY73" i="1"/>
  <c r="AX73" i="1"/>
  <c r="AX80" i="1" s="1"/>
  <c r="AW73" i="1"/>
  <c r="AV73" i="1"/>
  <c r="AU73" i="1"/>
  <c r="AT73" i="1"/>
  <c r="AT80" i="1" s="1"/>
  <c r="AS73" i="1"/>
  <c r="AS77" i="1" s="1"/>
  <c r="AR73" i="1"/>
  <c r="AR77" i="1" s="1"/>
  <c r="AQ73" i="1"/>
  <c r="AP73" i="1"/>
  <c r="AO73" i="1"/>
  <c r="AN73" i="1"/>
  <c r="AM73" i="1"/>
  <c r="AL73" i="1"/>
  <c r="AL77" i="1" s="1"/>
  <c r="AK73" i="1"/>
  <c r="AK80" i="1" s="1"/>
  <c r="AJ73" i="1"/>
  <c r="AJ77" i="1" s="1"/>
  <c r="AI73" i="1"/>
  <c r="AH73" i="1"/>
  <c r="AH80" i="1" s="1"/>
  <c r="AG73" i="1"/>
  <c r="AF73" i="1"/>
  <c r="AE73" i="1"/>
  <c r="AD73" i="1"/>
  <c r="AD77" i="1" s="1"/>
  <c r="AC73" i="1"/>
  <c r="AB73" i="1"/>
  <c r="AA73" i="1"/>
  <c r="Z73" i="1"/>
  <c r="Y73" i="1"/>
  <c r="X73" i="1"/>
  <c r="W73" i="1"/>
  <c r="V73" i="1"/>
  <c r="V77" i="1" s="1"/>
  <c r="U73" i="1"/>
  <c r="U80" i="1" s="1"/>
  <c r="T73" i="1"/>
  <c r="T80" i="1" s="1"/>
  <c r="S73" i="1"/>
  <c r="R73" i="1"/>
  <c r="R80" i="1" s="1"/>
  <c r="Q73" i="1"/>
  <c r="Q77" i="1" s="1"/>
  <c r="P73" i="1"/>
  <c r="O73" i="1"/>
  <c r="N73" i="1"/>
  <c r="N80" i="1" s="1"/>
  <c r="M73" i="1"/>
  <c r="L73" i="1"/>
  <c r="K73" i="1"/>
  <c r="J73" i="1"/>
  <c r="I73" i="1"/>
  <c r="H73" i="1"/>
  <c r="G73" i="1"/>
  <c r="F73" i="1"/>
  <c r="F77" i="1" s="1"/>
  <c r="E73" i="1"/>
  <c r="E77" i="1" s="1"/>
  <c r="D73" i="1"/>
  <c r="AD68" i="1"/>
  <c r="AD65" i="1"/>
  <c r="E63" i="1"/>
  <c r="AT61" i="1"/>
  <c r="AT70" i="1" s="1"/>
  <c r="AL61" i="1"/>
  <c r="X61" i="1"/>
  <c r="P61" i="1"/>
  <c r="N61" i="1"/>
  <c r="F61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B61" i="1" s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D61" i="1" s="1"/>
  <c r="BB58" i="1"/>
  <c r="BA58" i="1"/>
  <c r="AZ58" i="1"/>
  <c r="AY58" i="1"/>
  <c r="AX58" i="1"/>
  <c r="AW58" i="1"/>
  <c r="AV58" i="1"/>
  <c r="AU58" i="1"/>
  <c r="AU61" i="1" s="1"/>
  <c r="AT58" i="1"/>
  <c r="AS58" i="1"/>
  <c r="AR58" i="1"/>
  <c r="AQ58" i="1"/>
  <c r="AP58" i="1"/>
  <c r="AO58" i="1"/>
  <c r="AN58" i="1"/>
  <c r="AM58" i="1"/>
  <c r="AL58" i="1"/>
  <c r="AK58" i="1"/>
  <c r="AK61" i="1" s="1"/>
  <c r="AJ58" i="1"/>
  <c r="AI58" i="1"/>
  <c r="AH58" i="1"/>
  <c r="AG58" i="1"/>
  <c r="AF58" i="1"/>
  <c r="AE58" i="1"/>
  <c r="AD58" i="1"/>
  <c r="AD61" i="1" s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O61" i="1" s="1"/>
  <c r="N58" i="1"/>
  <c r="M58" i="1"/>
  <c r="L58" i="1"/>
  <c r="K58" i="1"/>
  <c r="J58" i="1"/>
  <c r="I58" i="1"/>
  <c r="H58" i="1"/>
  <c r="G58" i="1"/>
  <c r="F58" i="1"/>
  <c r="E58" i="1"/>
  <c r="E61" i="1" s="1"/>
  <c r="D58" i="1"/>
  <c r="BB57" i="1"/>
  <c r="BA57" i="1"/>
  <c r="AZ57" i="1"/>
  <c r="AY57" i="1"/>
  <c r="AX57" i="1"/>
  <c r="AX61" i="1" s="1"/>
  <c r="AW57" i="1"/>
  <c r="AV57" i="1"/>
  <c r="AV61" i="1" s="1"/>
  <c r="AU57" i="1"/>
  <c r="AT57" i="1"/>
  <c r="AS57" i="1"/>
  <c r="AR57" i="1"/>
  <c r="AQ57" i="1"/>
  <c r="AP57" i="1"/>
  <c r="AP61" i="1" s="1"/>
  <c r="AO57" i="1"/>
  <c r="AN57" i="1"/>
  <c r="AN61" i="1" s="1"/>
  <c r="AN69" i="1" s="1"/>
  <c r="AM57" i="1"/>
  <c r="AL57" i="1"/>
  <c r="AK57" i="1"/>
  <c r="AJ57" i="1"/>
  <c r="AI57" i="1"/>
  <c r="AH57" i="1"/>
  <c r="AH61" i="1" s="1"/>
  <c r="AG57" i="1"/>
  <c r="AF57" i="1"/>
  <c r="AF61" i="1" s="1"/>
  <c r="AE57" i="1"/>
  <c r="AD57" i="1"/>
  <c r="AC57" i="1"/>
  <c r="AB57" i="1"/>
  <c r="AA57" i="1"/>
  <c r="Z57" i="1"/>
  <c r="Z61" i="1" s="1"/>
  <c r="Z69" i="1" s="1"/>
  <c r="Y57" i="1"/>
  <c r="X57" i="1"/>
  <c r="W57" i="1"/>
  <c r="V57" i="1"/>
  <c r="V61" i="1" s="1"/>
  <c r="U57" i="1"/>
  <c r="T57" i="1"/>
  <c r="S57" i="1"/>
  <c r="R57" i="1"/>
  <c r="R61" i="1" s="1"/>
  <c r="R63" i="1" s="1"/>
  <c r="Q57" i="1"/>
  <c r="P57" i="1"/>
  <c r="O57" i="1"/>
  <c r="N57" i="1"/>
  <c r="M57" i="1"/>
  <c r="L57" i="1"/>
  <c r="K57" i="1"/>
  <c r="J57" i="1"/>
  <c r="J61" i="1" s="1"/>
  <c r="I57" i="1"/>
  <c r="H57" i="1"/>
  <c r="H61" i="1" s="1"/>
  <c r="G57" i="1"/>
  <c r="F57" i="1"/>
  <c r="E57" i="1"/>
  <c r="D57" i="1"/>
  <c r="BA54" i="1"/>
  <c r="AZ54" i="1"/>
  <c r="AS54" i="1"/>
  <c r="AR54" i="1"/>
  <c r="AK54" i="1"/>
  <c r="AJ54" i="1"/>
  <c r="AC54" i="1"/>
  <c r="AB54" i="1"/>
  <c r="U54" i="1"/>
  <c r="T54" i="1"/>
  <c r="M54" i="1"/>
  <c r="L54" i="1"/>
  <c r="E54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 s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AU47" i="1"/>
  <c r="AT47" i="1"/>
  <c r="AN47" i="1"/>
  <c r="X47" i="1"/>
  <c r="W47" i="1"/>
  <c r="V47" i="1"/>
  <c r="O47" i="1"/>
  <c r="F47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BB44" i="1"/>
  <c r="BB47" i="1" s="1"/>
  <c r="BA44" i="1"/>
  <c r="BA47" i="1" s="1"/>
  <c r="AZ44" i="1"/>
  <c r="AY44" i="1"/>
  <c r="AX44" i="1"/>
  <c r="AW44" i="1"/>
  <c r="AV44" i="1"/>
  <c r="AV47" i="1" s="1"/>
  <c r="AU44" i="1"/>
  <c r="AT44" i="1"/>
  <c r="AS44" i="1"/>
  <c r="AS47" i="1" s="1"/>
  <c r="AR44" i="1"/>
  <c r="AQ44" i="1"/>
  <c r="AP44" i="1"/>
  <c r="AO44" i="1"/>
  <c r="AN44" i="1"/>
  <c r="AM44" i="1"/>
  <c r="AM47" i="1" s="1"/>
  <c r="AL44" i="1"/>
  <c r="AL47" i="1" s="1"/>
  <c r="AK44" i="1"/>
  <c r="AK47" i="1" s="1"/>
  <c r="AJ44" i="1"/>
  <c r="AI44" i="1"/>
  <c r="AH44" i="1"/>
  <c r="AG44" i="1"/>
  <c r="AF44" i="1"/>
  <c r="AF47" i="1" s="1"/>
  <c r="AE44" i="1"/>
  <c r="AE47" i="1" s="1"/>
  <c r="AD44" i="1"/>
  <c r="AD47" i="1" s="1"/>
  <c r="AC44" i="1"/>
  <c r="AC47" i="1" s="1"/>
  <c r="AB44" i="1"/>
  <c r="AA44" i="1"/>
  <c r="Z44" i="1"/>
  <c r="Y44" i="1"/>
  <c r="X44" i="1"/>
  <c r="W44" i="1"/>
  <c r="V44" i="1"/>
  <c r="U44" i="1"/>
  <c r="U47" i="1" s="1"/>
  <c r="T44" i="1"/>
  <c r="S44" i="1"/>
  <c r="R44" i="1"/>
  <c r="Q44" i="1"/>
  <c r="P44" i="1"/>
  <c r="P47" i="1" s="1"/>
  <c r="O44" i="1"/>
  <c r="N44" i="1"/>
  <c r="N47" i="1" s="1"/>
  <c r="M44" i="1"/>
  <c r="M47" i="1" s="1"/>
  <c r="L44" i="1"/>
  <c r="K44" i="1"/>
  <c r="J44" i="1"/>
  <c r="I44" i="1"/>
  <c r="H44" i="1"/>
  <c r="H47" i="1" s="1"/>
  <c r="G44" i="1"/>
  <c r="G47" i="1" s="1"/>
  <c r="F44" i="1"/>
  <c r="E44" i="1"/>
  <c r="E47" i="1" s="1"/>
  <c r="D44" i="1"/>
  <c r="BB43" i="1"/>
  <c r="BB89" i="1" s="1" a="1"/>
  <c r="BB89" i="1" s="1"/>
  <c r="BA43" i="1"/>
  <c r="AZ43" i="1"/>
  <c r="AY43" i="1"/>
  <c r="AX43" i="1"/>
  <c r="AW43" i="1"/>
  <c r="AV43" i="1"/>
  <c r="AV89" i="1" s="1" a="1"/>
  <c r="AV89" i="1" s="1"/>
  <c r="AU43" i="1"/>
  <c r="AT43" i="1"/>
  <c r="AT54" i="1" s="1"/>
  <c r="AS43" i="1"/>
  <c r="AS89" i="1" s="1" a="1"/>
  <c r="AS89" i="1" s="1"/>
  <c r="AR43" i="1"/>
  <c r="AQ43" i="1"/>
  <c r="AQ54" i="1" s="1"/>
  <c r="AP43" i="1"/>
  <c r="AO43" i="1"/>
  <c r="AN43" i="1"/>
  <c r="AN89" i="1" s="1" a="1"/>
  <c r="AN89" i="1" s="1"/>
  <c r="AM43" i="1"/>
  <c r="AM89" i="1" s="1" a="1"/>
  <c r="AM89" i="1" s="1"/>
  <c r="AL43" i="1"/>
  <c r="AL54" i="1" s="1"/>
  <c r="AK43" i="1"/>
  <c r="AJ43" i="1"/>
  <c r="AI43" i="1"/>
  <c r="AH43" i="1"/>
  <c r="AG43" i="1"/>
  <c r="AF43" i="1"/>
  <c r="AF89" i="1" s="1" a="1"/>
  <c r="AF89" i="1" s="1"/>
  <c r="AE43" i="1"/>
  <c r="AD43" i="1"/>
  <c r="AD54" i="1" s="1"/>
  <c r="AC43" i="1"/>
  <c r="AB43" i="1"/>
  <c r="AA43" i="1"/>
  <c r="Z43" i="1"/>
  <c r="Y43" i="1"/>
  <c r="X43" i="1"/>
  <c r="X89" i="1" s="1" a="1"/>
  <c r="X89" i="1" s="1"/>
  <c r="W43" i="1"/>
  <c r="V43" i="1"/>
  <c r="V54" i="1" s="1"/>
  <c r="U43" i="1"/>
  <c r="T43" i="1"/>
  <c r="S43" i="1"/>
  <c r="S54" i="1" s="1"/>
  <c r="R43" i="1"/>
  <c r="Q43" i="1"/>
  <c r="P43" i="1"/>
  <c r="P89" i="1" s="1" a="1"/>
  <c r="P89" i="1" s="1"/>
  <c r="O43" i="1"/>
  <c r="N43" i="1"/>
  <c r="N54" i="1" s="1"/>
  <c r="M43" i="1"/>
  <c r="M89" i="1" s="1" a="1"/>
  <c r="M89" i="1" s="1"/>
  <c r="L43" i="1"/>
  <c r="K43" i="1"/>
  <c r="K89" i="1" s="1" a="1"/>
  <c r="K89" i="1" s="1"/>
  <c r="J43" i="1"/>
  <c r="I43" i="1"/>
  <c r="H43" i="1"/>
  <c r="H89" i="1" s="1" a="1"/>
  <c r="H89" i="1" s="1"/>
  <c r="G43" i="1"/>
  <c r="F43" i="1"/>
  <c r="F89" i="1" s="1" a="1"/>
  <c r="F89" i="1" s="1"/>
  <c r="E43" i="1"/>
  <c r="D43" i="1"/>
  <c r="AR40" i="1"/>
  <c r="AB40" i="1"/>
  <c r="AW39" i="1"/>
  <c r="AW40" i="1" s="1"/>
  <c r="AG39" i="1"/>
  <c r="AG40" i="1" s="1"/>
  <c r="H39" i="1"/>
  <c r="H40" i="1" s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O39" i="1" s="1"/>
  <c r="AO40" i="1" s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Y39" i="1" s="1"/>
  <c r="Y40" i="1" s="1"/>
  <c r="X38" i="1"/>
  <c r="W38" i="1"/>
  <c r="V38" i="1"/>
  <c r="U38" i="1"/>
  <c r="T38" i="1"/>
  <c r="S38" i="1"/>
  <c r="R38" i="1"/>
  <c r="Q38" i="1"/>
  <c r="Q39" i="1" s="1"/>
  <c r="Q40" i="1" s="1"/>
  <c r="P38" i="1"/>
  <c r="O38" i="1"/>
  <c r="N38" i="1"/>
  <c r="M38" i="1"/>
  <c r="L38" i="1"/>
  <c r="K38" i="1"/>
  <c r="J38" i="1"/>
  <c r="I38" i="1"/>
  <c r="I39" i="1" s="1"/>
  <c r="I40" i="1" s="1"/>
  <c r="H38" i="1"/>
  <c r="G38" i="1"/>
  <c r="F38" i="1"/>
  <c r="E38" i="1"/>
  <c r="D38" i="1"/>
  <c r="BB37" i="1"/>
  <c r="BA37" i="1"/>
  <c r="AZ37" i="1"/>
  <c r="AZ39" i="1" s="1"/>
  <c r="AZ40" i="1" s="1"/>
  <c r="AY37" i="1"/>
  <c r="AX37" i="1"/>
  <c r="AW37" i="1"/>
  <c r="AV37" i="1"/>
  <c r="AU37" i="1"/>
  <c r="AT37" i="1"/>
  <c r="AS37" i="1"/>
  <c r="AR37" i="1"/>
  <c r="AR39" i="1" s="1"/>
  <c r="AQ37" i="1"/>
  <c r="AP37" i="1"/>
  <c r="AO37" i="1"/>
  <c r="AN37" i="1"/>
  <c r="AM37" i="1"/>
  <c r="AL37" i="1"/>
  <c r="AK37" i="1"/>
  <c r="AJ37" i="1"/>
  <c r="AJ39" i="1" s="1"/>
  <c r="AJ40" i="1" s="1"/>
  <c r="AI37" i="1"/>
  <c r="AH37" i="1"/>
  <c r="AG37" i="1"/>
  <c r="AF37" i="1"/>
  <c r="AE37" i="1"/>
  <c r="AD37" i="1"/>
  <c r="AC37" i="1"/>
  <c r="AB37" i="1"/>
  <c r="AB39" i="1" s="1"/>
  <c r="AA37" i="1"/>
  <c r="Z37" i="1"/>
  <c r="Y37" i="1"/>
  <c r="X37" i="1"/>
  <c r="W37" i="1"/>
  <c r="V37" i="1"/>
  <c r="U37" i="1"/>
  <c r="T37" i="1"/>
  <c r="T39" i="1" s="1"/>
  <c r="T40" i="1" s="1"/>
  <c r="S37" i="1"/>
  <c r="R37" i="1"/>
  <c r="Q37" i="1"/>
  <c r="P37" i="1"/>
  <c r="O37" i="1"/>
  <c r="N37" i="1"/>
  <c r="M37" i="1"/>
  <c r="L37" i="1"/>
  <c r="L39" i="1" s="1"/>
  <c r="L40" i="1" s="1"/>
  <c r="K37" i="1"/>
  <c r="J37" i="1"/>
  <c r="I37" i="1"/>
  <c r="H37" i="1"/>
  <c r="G37" i="1"/>
  <c r="F37" i="1"/>
  <c r="E37" i="1"/>
  <c r="D37" i="1"/>
  <c r="BB34" i="1"/>
  <c r="AW34" i="1"/>
  <c r="AV34" i="1"/>
  <c r="AU34" i="1"/>
  <c r="AT34" i="1"/>
  <c r="AO34" i="1"/>
  <c r="AN34" i="1"/>
  <c r="AM34" i="1"/>
  <c r="AL34" i="1"/>
  <c r="AG34" i="1"/>
  <c r="AF34" i="1"/>
  <c r="AE34" i="1"/>
  <c r="AD34" i="1"/>
  <c r="Y34" i="1"/>
  <c r="X34" i="1"/>
  <c r="W34" i="1"/>
  <c r="V34" i="1"/>
  <c r="Q34" i="1"/>
  <c r="P34" i="1"/>
  <c r="O34" i="1"/>
  <c r="N34" i="1"/>
  <c r="I34" i="1"/>
  <c r="H34" i="1"/>
  <c r="G34" i="1"/>
  <c r="BB33" i="1"/>
  <c r="BA33" i="1"/>
  <c r="BA34" i="1" s="1"/>
  <c r="AZ33" i="1"/>
  <c r="AZ34" i="1" s="1"/>
  <c r="AY33" i="1"/>
  <c r="AY34" i="1" s="1"/>
  <c r="AX33" i="1"/>
  <c r="AX34" i="1" s="1"/>
  <c r="AW33" i="1"/>
  <c r="AV33" i="1"/>
  <c r="AU33" i="1"/>
  <c r="AT33" i="1"/>
  <c r="AS33" i="1"/>
  <c r="AS34" i="1" s="1"/>
  <c r="AR33" i="1"/>
  <c r="AR34" i="1" s="1"/>
  <c r="AQ33" i="1"/>
  <c r="AQ34" i="1" s="1"/>
  <c r="AP33" i="1"/>
  <c r="AP34" i="1" s="1"/>
  <c r="AO33" i="1"/>
  <c r="AN33" i="1"/>
  <c r="AM33" i="1"/>
  <c r="AL33" i="1"/>
  <c r="AK33" i="1"/>
  <c r="AK34" i="1" s="1"/>
  <c r="AJ33" i="1"/>
  <c r="AJ34" i="1" s="1"/>
  <c r="AI33" i="1"/>
  <c r="AI34" i="1" s="1"/>
  <c r="AH33" i="1"/>
  <c r="AH34" i="1" s="1"/>
  <c r="AG33" i="1"/>
  <c r="AF33" i="1"/>
  <c r="AE33" i="1"/>
  <c r="AD33" i="1"/>
  <c r="AC33" i="1"/>
  <c r="AC34" i="1" s="1"/>
  <c r="AB33" i="1"/>
  <c r="AB34" i="1" s="1"/>
  <c r="AA33" i="1"/>
  <c r="AA34" i="1" s="1"/>
  <c r="Z33" i="1"/>
  <c r="Z34" i="1" s="1"/>
  <c r="Y33" i="1"/>
  <c r="X33" i="1"/>
  <c r="W33" i="1"/>
  <c r="V33" i="1"/>
  <c r="U33" i="1"/>
  <c r="U34" i="1" s="1"/>
  <c r="T33" i="1"/>
  <c r="T34" i="1" s="1"/>
  <c r="S33" i="1"/>
  <c r="S34" i="1" s="1"/>
  <c r="R33" i="1"/>
  <c r="R34" i="1" s="1"/>
  <c r="Q33" i="1"/>
  <c r="P33" i="1"/>
  <c r="O33" i="1"/>
  <c r="N33" i="1"/>
  <c r="M33" i="1"/>
  <c r="M34" i="1" s="1"/>
  <c r="L33" i="1"/>
  <c r="L34" i="1" s="1"/>
  <c r="K33" i="1"/>
  <c r="K34" i="1" s="1"/>
  <c r="J33" i="1"/>
  <c r="J34" i="1" s="1"/>
  <c r="I33" i="1"/>
  <c r="H33" i="1"/>
  <c r="G33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AV30" i="1"/>
  <c r="AN30" i="1"/>
  <c r="AM30" i="1"/>
  <c r="AF30" i="1"/>
  <c r="X30" i="1"/>
  <c r="W30" i="1"/>
  <c r="P30" i="1"/>
  <c r="H30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BB28" i="1"/>
  <c r="BB30" i="1" s="1"/>
  <c r="BA28" i="1"/>
  <c r="AZ28" i="1"/>
  <c r="AY28" i="1"/>
  <c r="AX28" i="1"/>
  <c r="AW28" i="1"/>
  <c r="AV28" i="1"/>
  <c r="AU28" i="1"/>
  <c r="AU30" i="1" s="1"/>
  <c r="AT28" i="1"/>
  <c r="AT30" i="1" s="1"/>
  <c r="AS28" i="1"/>
  <c r="AR28" i="1"/>
  <c r="AQ28" i="1"/>
  <c r="AP28" i="1"/>
  <c r="AO28" i="1"/>
  <c r="AN28" i="1"/>
  <c r="AM28" i="1"/>
  <c r="AL28" i="1"/>
  <c r="AL30" i="1" s="1"/>
  <c r="AK28" i="1"/>
  <c r="AJ28" i="1"/>
  <c r="AI28" i="1"/>
  <c r="AH28" i="1"/>
  <c r="AG28" i="1"/>
  <c r="AF28" i="1"/>
  <c r="AE28" i="1"/>
  <c r="AE30" i="1" s="1"/>
  <c r="AD28" i="1"/>
  <c r="AD30" i="1" s="1"/>
  <c r="AC28" i="1"/>
  <c r="AB28" i="1"/>
  <c r="AA28" i="1"/>
  <c r="Z28" i="1"/>
  <c r="Y28" i="1"/>
  <c r="X28" i="1"/>
  <c r="W28" i="1"/>
  <c r="V28" i="1"/>
  <c r="V30" i="1" s="1"/>
  <c r="U28" i="1"/>
  <c r="T28" i="1"/>
  <c r="S28" i="1"/>
  <c r="R28" i="1"/>
  <c r="Q28" i="1"/>
  <c r="P28" i="1"/>
  <c r="O28" i="1"/>
  <c r="O30" i="1" s="1"/>
  <c r="N28" i="1"/>
  <c r="N30" i="1" s="1"/>
  <c r="M28" i="1"/>
  <c r="L28" i="1"/>
  <c r="K28" i="1"/>
  <c r="J28" i="1"/>
  <c r="I28" i="1"/>
  <c r="H28" i="1"/>
  <c r="G28" i="1"/>
  <c r="G30" i="1" s="1"/>
  <c r="F28" i="1"/>
  <c r="F30" i="1" s="1"/>
  <c r="E28" i="1"/>
  <c r="D28" i="1"/>
  <c r="BB27" i="1"/>
  <c r="BA27" i="1"/>
  <c r="AZ27" i="1"/>
  <c r="AY27" i="1"/>
  <c r="AX27" i="1"/>
  <c r="AW27" i="1"/>
  <c r="AW30" i="1" s="1"/>
  <c r="AV27" i="1"/>
  <c r="AU27" i="1"/>
  <c r="AT27" i="1"/>
  <c r="AS27" i="1"/>
  <c r="AR27" i="1"/>
  <c r="AQ27" i="1"/>
  <c r="AP27" i="1"/>
  <c r="AO27" i="1"/>
  <c r="AO30" i="1" s="1"/>
  <c r="AN27" i="1"/>
  <c r="AM27" i="1"/>
  <c r="AL27" i="1"/>
  <c r="AK27" i="1"/>
  <c r="AJ27" i="1"/>
  <c r="AI27" i="1"/>
  <c r="AH27" i="1"/>
  <c r="AG27" i="1"/>
  <c r="AG30" i="1" s="1"/>
  <c r="AF27" i="1"/>
  <c r="AE27" i="1"/>
  <c r="AD27" i="1"/>
  <c r="AC27" i="1"/>
  <c r="AB27" i="1"/>
  <c r="AA27" i="1"/>
  <c r="Z27" i="1"/>
  <c r="Y27" i="1"/>
  <c r="Y30" i="1" s="1"/>
  <c r="X27" i="1"/>
  <c r="W27" i="1"/>
  <c r="V27" i="1"/>
  <c r="U27" i="1"/>
  <c r="T27" i="1"/>
  <c r="S27" i="1"/>
  <c r="R27" i="1"/>
  <c r="Q27" i="1"/>
  <c r="Q30" i="1" s="1"/>
  <c r="P27" i="1"/>
  <c r="O27" i="1"/>
  <c r="N27" i="1"/>
  <c r="M27" i="1"/>
  <c r="L27" i="1"/>
  <c r="K27" i="1"/>
  <c r="J27" i="1"/>
  <c r="I27" i="1"/>
  <c r="I30" i="1" s="1"/>
  <c r="H27" i="1"/>
  <c r="G27" i="1"/>
  <c r="F27" i="1"/>
  <c r="E27" i="1"/>
  <c r="D27" i="1"/>
  <c r="BB26" i="1"/>
  <c r="BA26" i="1"/>
  <c r="BA30" i="1" s="1"/>
  <c r="AZ26" i="1"/>
  <c r="AY26" i="1"/>
  <c r="AX26" i="1"/>
  <c r="AW26" i="1"/>
  <c r="AV26" i="1"/>
  <c r="AU26" i="1"/>
  <c r="AT26" i="1"/>
  <c r="AS26" i="1"/>
  <c r="AS30" i="1" s="1"/>
  <c r="AR26" i="1"/>
  <c r="AQ26" i="1"/>
  <c r="AP26" i="1"/>
  <c r="AO26" i="1"/>
  <c r="AO153" i="1" s="1"/>
  <c r="AN26" i="1"/>
  <c r="AM26" i="1"/>
  <c r="AL26" i="1"/>
  <c r="AK26" i="1"/>
  <c r="AK30" i="1" s="1"/>
  <c r="AJ26" i="1"/>
  <c r="AI26" i="1"/>
  <c r="AH26" i="1"/>
  <c r="AG26" i="1"/>
  <c r="AF26" i="1"/>
  <c r="AE26" i="1"/>
  <c r="AD26" i="1"/>
  <c r="AC26" i="1"/>
  <c r="AC30" i="1" s="1"/>
  <c r="AB26" i="1"/>
  <c r="AA26" i="1"/>
  <c r="Z26" i="1"/>
  <c r="Y26" i="1"/>
  <c r="Y153" i="1" s="1"/>
  <c r="X26" i="1"/>
  <c r="W26" i="1"/>
  <c r="V26" i="1"/>
  <c r="U26" i="1"/>
  <c r="U30" i="1" s="1"/>
  <c r="T26" i="1"/>
  <c r="S26" i="1"/>
  <c r="R26" i="1"/>
  <c r="Q26" i="1"/>
  <c r="P26" i="1"/>
  <c r="O26" i="1"/>
  <c r="N26" i="1"/>
  <c r="M26" i="1"/>
  <c r="M30" i="1" s="1"/>
  <c r="L26" i="1"/>
  <c r="K26" i="1"/>
  <c r="J26" i="1"/>
  <c r="I26" i="1"/>
  <c r="I153" i="1" s="1"/>
  <c r="H26" i="1"/>
  <c r="G26" i="1"/>
  <c r="F26" i="1"/>
  <c r="E26" i="1"/>
  <c r="E30" i="1" s="1"/>
  <c r="D26" i="1"/>
  <c r="D30" i="1" s="1"/>
  <c r="BB24" i="1"/>
  <c r="BA24" i="1"/>
  <c r="AZ24" i="1"/>
  <c r="AY24" i="1"/>
  <c r="AX24" i="1"/>
  <c r="AW24" i="1"/>
  <c r="AV24" i="1"/>
  <c r="AV39" i="1" s="1"/>
  <c r="AV40" i="1" s="1"/>
  <c r="AU24" i="1"/>
  <c r="AU39" i="1" s="1"/>
  <c r="AU40" i="1" s="1"/>
  <c r="AT24" i="1"/>
  <c r="AS24" i="1"/>
  <c r="AR24" i="1"/>
  <c r="AQ24" i="1"/>
  <c r="AP24" i="1"/>
  <c r="AO24" i="1"/>
  <c r="AN24" i="1"/>
  <c r="AN39" i="1" s="1"/>
  <c r="AN40" i="1" s="1"/>
  <c r="AM24" i="1"/>
  <c r="AM39" i="1" s="1"/>
  <c r="AM40" i="1" s="1"/>
  <c r="AL24" i="1"/>
  <c r="AK24" i="1"/>
  <c r="AJ24" i="1"/>
  <c r="AI24" i="1"/>
  <c r="AH24" i="1"/>
  <c r="AG24" i="1"/>
  <c r="AF24" i="1"/>
  <c r="AF39" i="1" s="1"/>
  <c r="AF40" i="1" s="1"/>
  <c r="AE24" i="1"/>
  <c r="AE39" i="1" s="1"/>
  <c r="AE40" i="1" s="1"/>
  <c r="AD24" i="1"/>
  <c r="AC24" i="1"/>
  <c r="AB24" i="1"/>
  <c r="AA24" i="1"/>
  <c r="Z24" i="1"/>
  <c r="Y24" i="1"/>
  <c r="X24" i="1"/>
  <c r="X39" i="1" s="1"/>
  <c r="X40" i="1" s="1"/>
  <c r="W24" i="1"/>
  <c r="W39" i="1" s="1"/>
  <c r="W40" i="1" s="1"/>
  <c r="V24" i="1"/>
  <c r="U24" i="1"/>
  <c r="T24" i="1"/>
  <c r="S24" i="1"/>
  <c r="R24" i="1"/>
  <c r="Q24" i="1"/>
  <c r="P24" i="1"/>
  <c r="P39" i="1" s="1"/>
  <c r="P40" i="1" s="1"/>
  <c r="O24" i="1"/>
  <c r="O39" i="1" s="1"/>
  <c r="O40" i="1" s="1"/>
  <c r="N24" i="1"/>
  <c r="M24" i="1"/>
  <c r="L24" i="1"/>
  <c r="K24" i="1"/>
  <c r="J24" i="1"/>
  <c r="I24" i="1"/>
  <c r="H24" i="1"/>
  <c r="G24" i="1"/>
  <c r="G39" i="1" s="1"/>
  <c r="G40" i="1" s="1"/>
  <c r="F24" i="1"/>
  <c r="E24" i="1"/>
  <c r="D24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BB17" i="1"/>
  <c r="BB187" i="1" s="1"/>
  <c r="AT17" i="1"/>
  <c r="AT187" i="1" s="1"/>
  <c r="AM17" i="1"/>
  <c r="AM187" i="1" s="1"/>
  <c r="AL17" i="1"/>
  <c r="AL187" i="1" s="1"/>
  <c r="AE17" i="1"/>
  <c r="AE187" i="1" s="1"/>
  <c r="O17" i="1"/>
  <c r="O187" i="1" s="1"/>
  <c r="N17" i="1"/>
  <c r="N187" i="1" s="1"/>
  <c r="BB16" i="1"/>
  <c r="BA16" i="1"/>
  <c r="BA83" i="1" s="1"/>
  <c r="AZ16" i="1"/>
  <c r="AY16" i="1"/>
  <c r="AY83" i="1" s="1"/>
  <c r="AX16" i="1"/>
  <c r="AW16" i="1"/>
  <c r="AV16" i="1"/>
  <c r="AU16" i="1"/>
  <c r="AT16" i="1"/>
  <c r="AS16" i="1"/>
  <c r="AS83" i="1" s="1"/>
  <c r="AR16" i="1"/>
  <c r="AR83" i="1" s="1"/>
  <c r="AQ16" i="1"/>
  <c r="AP16" i="1"/>
  <c r="AP83" i="1" s="1"/>
  <c r="AO16" i="1"/>
  <c r="AO83" i="1" s="1"/>
  <c r="AN16" i="1"/>
  <c r="AM16" i="1"/>
  <c r="AL16" i="1"/>
  <c r="AK16" i="1"/>
  <c r="AK83" i="1" s="1"/>
  <c r="AJ16" i="1"/>
  <c r="AI16" i="1"/>
  <c r="AH16" i="1"/>
  <c r="AH83" i="1" s="1"/>
  <c r="AG16" i="1"/>
  <c r="AF16" i="1"/>
  <c r="AE16" i="1"/>
  <c r="AD16" i="1"/>
  <c r="AC16" i="1"/>
  <c r="AC83" i="1" s="1"/>
  <c r="AB16" i="1"/>
  <c r="AA16" i="1"/>
  <c r="AA83" i="1" s="1"/>
  <c r="Z16" i="1"/>
  <c r="Z83" i="1" s="1"/>
  <c r="Y16" i="1"/>
  <c r="X16" i="1"/>
  <c r="W16" i="1"/>
  <c r="V16" i="1"/>
  <c r="U16" i="1"/>
  <c r="T16" i="1"/>
  <c r="S16" i="1"/>
  <c r="S83" i="1" s="1"/>
  <c r="R16" i="1"/>
  <c r="R83" i="1" s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BB15" i="1"/>
  <c r="BA15" i="1"/>
  <c r="BA17" i="1" s="1"/>
  <c r="BA187" i="1" s="1"/>
  <c r="AZ15" i="1"/>
  <c r="AZ17" i="1" s="1"/>
  <c r="AZ187" i="1" s="1"/>
  <c r="AY15" i="1"/>
  <c r="AX15" i="1"/>
  <c r="AW15" i="1"/>
  <c r="AV15" i="1"/>
  <c r="AU15" i="1"/>
  <c r="AT15" i="1"/>
  <c r="AS15" i="1"/>
  <c r="AS82" i="1" s="1"/>
  <c r="AR15" i="1"/>
  <c r="AR17" i="1" s="1"/>
  <c r="AR187" i="1" s="1"/>
  <c r="AQ15" i="1"/>
  <c r="AP15" i="1"/>
  <c r="AO15" i="1"/>
  <c r="AN15" i="1"/>
  <c r="AM15" i="1"/>
  <c r="AL15" i="1"/>
  <c r="AK15" i="1"/>
  <c r="AK82" i="1" s="1"/>
  <c r="AJ15" i="1"/>
  <c r="AJ17" i="1" s="1"/>
  <c r="AJ187" i="1" s="1"/>
  <c r="AI15" i="1"/>
  <c r="AH15" i="1"/>
  <c r="AG15" i="1"/>
  <c r="AF15" i="1"/>
  <c r="AE15" i="1"/>
  <c r="AD15" i="1"/>
  <c r="AD82" i="1" s="1"/>
  <c r="AC15" i="1"/>
  <c r="AC82" i="1" s="1"/>
  <c r="AB15" i="1"/>
  <c r="AB17" i="1" s="1"/>
  <c r="AB187" i="1" s="1"/>
  <c r="AA15" i="1"/>
  <c r="Z15" i="1"/>
  <c r="Y15" i="1"/>
  <c r="X15" i="1"/>
  <c r="W15" i="1"/>
  <c r="V15" i="1"/>
  <c r="U15" i="1"/>
  <c r="U82" i="1" s="1"/>
  <c r="T15" i="1"/>
  <c r="T17" i="1" s="1"/>
  <c r="T187" i="1" s="1"/>
  <c r="S15" i="1"/>
  <c r="R15" i="1"/>
  <c r="Q15" i="1"/>
  <c r="P15" i="1"/>
  <c r="O15" i="1"/>
  <c r="N15" i="1"/>
  <c r="M15" i="1"/>
  <c r="M82" i="1" s="1"/>
  <c r="L15" i="1"/>
  <c r="L17" i="1" s="1"/>
  <c r="L187" i="1" s="1"/>
  <c r="K15" i="1"/>
  <c r="J15" i="1"/>
  <c r="I15" i="1"/>
  <c r="H15" i="1"/>
  <c r="G15" i="1"/>
  <c r="F15" i="1"/>
  <c r="E15" i="1"/>
  <c r="E82" i="1" s="1"/>
  <c r="D15" i="1"/>
  <c r="D17" i="1" s="1"/>
  <c r="BB14" i="1"/>
  <c r="BA14" i="1"/>
  <c r="AZ14" i="1"/>
  <c r="AY14" i="1"/>
  <c r="AX14" i="1"/>
  <c r="AW14" i="1"/>
  <c r="AV14" i="1"/>
  <c r="AU14" i="1"/>
  <c r="AU17" i="1" s="1"/>
  <c r="AU187" i="1" s="1"/>
  <c r="AT14" i="1"/>
  <c r="AS14" i="1"/>
  <c r="AR14" i="1"/>
  <c r="AQ14" i="1"/>
  <c r="AP14" i="1"/>
  <c r="AO14" i="1"/>
  <c r="AN14" i="1"/>
  <c r="AN81" i="1" s="1"/>
  <c r="AM14" i="1"/>
  <c r="AL14" i="1"/>
  <c r="AK14" i="1"/>
  <c r="AJ14" i="1"/>
  <c r="AI14" i="1"/>
  <c r="AH14" i="1"/>
  <c r="AG14" i="1"/>
  <c r="AF14" i="1"/>
  <c r="AF81" i="1" s="1"/>
  <c r="AE14" i="1"/>
  <c r="AD14" i="1"/>
  <c r="AD17" i="1" s="1"/>
  <c r="AD187" i="1" s="1"/>
  <c r="AC14" i="1"/>
  <c r="AB14" i="1"/>
  <c r="AA14" i="1"/>
  <c r="Z14" i="1"/>
  <c r="Y14" i="1"/>
  <c r="X14" i="1"/>
  <c r="X81" i="1" s="1"/>
  <c r="W14" i="1"/>
  <c r="W17" i="1" s="1"/>
  <c r="W187" i="1" s="1"/>
  <c r="V14" i="1"/>
  <c r="V17" i="1" s="1"/>
  <c r="V187" i="1" s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H81" i="1" s="1"/>
  <c r="G14" i="1"/>
  <c r="G17" i="1" s="1"/>
  <c r="G187" i="1" s="1"/>
  <c r="F14" i="1"/>
  <c r="F17" i="1" s="1"/>
  <c r="F187" i="1" s="1"/>
  <c r="E14" i="1"/>
  <c r="D14" i="1"/>
  <c r="BB13" i="1"/>
  <c r="BA13" i="1"/>
  <c r="AZ13" i="1"/>
  <c r="AY13" i="1"/>
  <c r="AX13" i="1"/>
  <c r="AW13" i="1"/>
  <c r="AW17" i="1" s="1"/>
  <c r="AW187" i="1" s="1"/>
  <c r="AV13" i="1"/>
  <c r="AU13" i="1"/>
  <c r="AU54" i="1" s="1"/>
  <c r="AT13" i="1"/>
  <c r="AS13" i="1"/>
  <c r="AR13" i="1"/>
  <c r="AQ13" i="1"/>
  <c r="AP13" i="1"/>
  <c r="AO13" i="1"/>
  <c r="AO17" i="1" s="1"/>
  <c r="AO187" i="1" s="1"/>
  <c r="AN13" i="1"/>
  <c r="AM13" i="1"/>
  <c r="AM54" i="1" s="1"/>
  <c r="AL13" i="1"/>
  <c r="AK13" i="1"/>
  <c r="AJ13" i="1"/>
  <c r="AI13" i="1"/>
  <c r="AI17" i="1" s="1"/>
  <c r="AI187" i="1" s="1"/>
  <c r="AH13" i="1"/>
  <c r="AG13" i="1"/>
  <c r="AG17" i="1" s="1"/>
  <c r="AG187" i="1" s="1"/>
  <c r="AF13" i="1"/>
  <c r="AE13" i="1"/>
  <c r="AE54" i="1" s="1"/>
  <c r="AD13" i="1"/>
  <c r="AC13" i="1"/>
  <c r="AB13" i="1"/>
  <c r="AA13" i="1"/>
  <c r="AA17" i="1" s="1"/>
  <c r="AA187" i="1" s="1"/>
  <c r="Z13" i="1"/>
  <c r="Y13" i="1"/>
  <c r="Y17" i="1" s="1"/>
  <c r="Y187" i="1" s="1"/>
  <c r="X13" i="1"/>
  <c r="W13" i="1"/>
  <c r="W54" i="1" s="1"/>
  <c r="V13" i="1"/>
  <c r="U13" i="1"/>
  <c r="T13" i="1"/>
  <c r="S13" i="1"/>
  <c r="R13" i="1"/>
  <c r="Q13" i="1"/>
  <c r="Q17" i="1" s="1"/>
  <c r="Q187" i="1" s="1"/>
  <c r="P13" i="1"/>
  <c r="O13" i="1"/>
  <c r="O54" i="1" s="1"/>
  <c r="N13" i="1"/>
  <c r="M13" i="1"/>
  <c r="L13" i="1"/>
  <c r="K13" i="1"/>
  <c r="K17" i="1" s="1"/>
  <c r="K187" i="1" s="1"/>
  <c r="J13" i="1"/>
  <c r="I13" i="1"/>
  <c r="I17" i="1" s="1"/>
  <c r="I187" i="1" s="1"/>
  <c r="H13" i="1"/>
  <c r="G13" i="1"/>
  <c r="G54" i="1" s="1"/>
  <c r="F13" i="1"/>
  <c r="E13" i="1"/>
  <c r="D13" i="1"/>
  <c r="D8" i="1" a="1"/>
  <c r="D7" i="1" a="1"/>
  <c r="D7" i="1" l="1"/>
  <c r="Z50" i="1" s="1"/>
  <c r="D8" i="1"/>
  <c r="AR50" i="1"/>
  <c r="K50" i="1"/>
  <c r="R50" i="1"/>
  <c r="AJ50" i="1"/>
  <c r="AV63" i="1"/>
  <c r="AV156" i="1"/>
  <c r="AV68" i="1"/>
  <c r="AV70" i="1"/>
  <c r="AV64" i="1"/>
  <c r="AV69" i="1"/>
  <c r="AV67" i="1"/>
  <c r="AV65" i="1"/>
  <c r="AV66" i="1"/>
  <c r="AH156" i="1"/>
  <c r="AH65" i="1"/>
  <c r="AH70" i="1"/>
  <c r="AH68" i="1"/>
  <c r="AH64" i="1"/>
  <c r="AH66" i="1"/>
  <c r="AH69" i="1"/>
  <c r="AH67" i="1"/>
  <c r="AH63" i="1"/>
  <c r="AB156" i="1"/>
  <c r="AB67" i="1"/>
  <c r="AB70" i="1"/>
  <c r="AB66" i="1"/>
  <c r="AB68" i="1"/>
  <c r="AB69" i="1"/>
  <c r="AB64" i="1"/>
  <c r="AB63" i="1"/>
  <c r="AB65" i="1"/>
  <c r="AW239" i="1"/>
  <c r="AW230" i="1" s="1" a="1"/>
  <c r="AW230" i="1" s="1"/>
  <c r="AO239" i="1"/>
  <c r="AG239" i="1"/>
  <c r="Y239" i="1"/>
  <c r="Y232" i="1" s="1"/>
  <c r="Q239" i="1"/>
  <c r="Q230" i="1" s="1" a="1"/>
  <c r="Q230" i="1" s="1"/>
  <c r="I239" i="1"/>
  <c r="AZ238" i="1"/>
  <c r="AR238" i="1"/>
  <c r="AJ238" i="1"/>
  <c r="AB238" i="1"/>
  <c r="T238" i="1"/>
  <c r="L238" i="1"/>
  <c r="D238" i="1"/>
  <c r="AV239" i="1"/>
  <c r="AN239" i="1"/>
  <c r="AN230" i="1" s="1" a="1"/>
  <c r="AN230" i="1" s="1"/>
  <c r="AF239" i="1"/>
  <c r="AF230" i="1" s="1" a="1"/>
  <c r="AF230" i="1" s="1"/>
  <c r="X239" i="1"/>
  <c r="X232" i="1" s="1"/>
  <c r="P239" i="1"/>
  <c r="H239" i="1"/>
  <c r="AY238" i="1"/>
  <c r="AQ238" i="1"/>
  <c r="AI238" i="1"/>
  <c r="AA238" i="1"/>
  <c r="S238" i="1"/>
  <c r="K238" i="1"/>
  <c r="AU239" i="1"/>
  <c r="AM239" i="1"/>
  <c r="AE239" i="1"/>
  <c r="AE230" i="1" s="1" a="1"/>
  <c r="AE230" i="1" s="1"/>
  <c r="W239" i="1"/>
  <c r="W230" i="1" s="1" a="1"/>
  <c r="W230" i="1" s="1"/>
  <c r="O239" i="1"/>
  <c r="G239" i="1"/>
  <c r="G230" i="1" s="1" a="1"/>
  <c r="G230" i="1" s="1"/>
  <c r="AX238" i="1"/>
  <c r="AP238" i="1"/>
  <c r="AH238" i="1"/>
  <c r="Z238" i="1"/>
  <c r="R238" i="1"/>
  <c r="BA239" i="1"/>
  <c r="BA232" i="1" s="1"/>
  <c r="AS239" i="1"/>
  <c r="AK239" i="1"/>
  <c r="AK230" i="1" s="1" a="1"/>
  <c r="AK230" i="1" s="1"/>
  <c r="AC239" i="1"/>
  <c r="AC230" i="1" s="1" a="1"/>
  <c r="AC230" i="1" s="1"/>
  <c r="U239" i="1"/>
  <c r="U230" i="1" s="1" a="1"/>
  <c r="U230" i="1" s="1"/>
  <c r="M239" i="1"/>
  <c r="E239" i="1"/>
  <c r="AV238" i="1"/>
  <c r="AN238" i="1"/>
  <c r="AF238" i="1"/>
  <c r="X238" i="1"/>
  <c r="P238" i="1"/>
  <c r="H238" i="1"/>
  <c r="BB239" i="1"/>
  <c r="AL239" i="1"/>
  <c r="V239" i="1"/>
  <c r="V230" i="1" s="1" a="1"/>
  <c r="V230" i="1" s="1"/>
  <c r="F239" i="1"/>
  <c r="F230" i="1" s="1" a="1"/>
  <c r="F230" i="1" s="1"/>
  <c r="AO238" i="1"/>
  <c r="Y238" i="1"/>
  <c r="J238" i="1"/>
  <c r="AZ239" i="1"/>
  <c r="AZ232" i="1" s="1"/>
  <c r="AJ239" i="1"/>
  <c r="AJ230" i="1" s="1" a="1"/>
  <c r="AJ230" i="1" s="1"/>
  <c r="T239" i="1"/>
  <c r="D239" i="1"/>
  <c r="AM238" i="1"/>
  <c r="W238" i="1"/>
  <c r="I238" i="1"/>
  <c r="AY239" i="1"/>
  <c r="AI239" i="1"/>
  <c r="AI232" i="1" s="1"/>
  <c r="S239" i="1"/>
  <c r="S230" i="1" s="1" a="1"/>
  <c r="S230" i="1" s="1"/>
  <c r="BB238" i="1"/>
  <c r="AL238" i="1"/>
  <c r="V238" i="1"/>
  <c r="G238" i="1"/>
  <c r="AX239" i="1"/>
  <c r="AX230" i="1" s="1" a="1"/>
  <c r="AX230" i="1" s="1"/>
  <c r="AH239" i="1"/>
  <c r="AH232" i="1" s="1"/>
  <c r="R239" i="1"/>
  <c r="R232" i="1" s="1"/>
  <c r="BA238" i="1"/>
  <c r="AK238" i="1"/>
  <c r="U238" i="1"/>
  <c r="F238" i="1"/>
  <c r="AT239" i="1"/>
  <c r="AT230" i="1" s="1" a="1"/>
  <c r="AT230" i="1" s="1"/>
  <c r="AD239" i="1"/>
  <c r="AD230" i="1" s="1" a="1"/>
  <c r="AD230" i="1" s="1"/>
  <c r="N239" i="1"/>
  <c r="N232" i="1" s="1"/>
  <c r="AW238" i="1"/>
  <c r="AG238" i="1"/>
  <c r="Q238" i="1"/>
  <c r="E238" i="1"/>
  <c r="AR239" i="1"/>
  <c r="AR232" i="1" s="1"/>
  <c r="AB239" i="1"/>
  <c r="AB230" i="1" s="1" a="1"/>
  <c r="AB230" i="1" s="1"/>
  <c r="L239" i="1"/>
  <c r="L232" i="1" s="1"/>
  <c r="AU238" i="1"/>
  <c r="AE238" i="1"/>
  <c r="O238" i="1"/>
  <c r="AQ239" i="1"/>
  <c r="AA239" i="1"/>
  <c r="AA232" i="1" s="1"/>
  <c r="K239" i="1"/>
  <c r="K232" i="1" s="1"/>
  <c r="AT238" i="1"/>
  <c r="AD238" i="1"/>
  <c r="N238" i="1"/>
  <c r="AP239" i="1"/>
  <c r="AP230" i="1" s="1" a="1"/>
  <c r="AP230" i="1" s="1"/>
  <c r="Z239" i="1"/>
  <c r="J239" i="1"/>
  <c r="AS238" i="1"/>
  <c r="AC238" i="1"/>
  <c r="M238" i="1"/>
  <c r="S17" i="1"/>
  <c r="S187" i="1" s="1"/>
  <c r="S80" i="1"/>
  <c r="AQ80" i="1"/>
  <c r="AQ17" i="1"/>
  <c r="AQ187" i="1" s="1"/>
  <c r="AY80" i="1"/>
  <c r="AY17" i="1"/>
  <c r="AY187" i="1" s="1"/>
  <c r="M17" i="1"/>
  <c r="M187" i="1" s="1"/>
  <c r="L153" i="1"/>
  <c r="L30" i="1"/>
  <c r="T153" i="1"/>
  <c r="T30" i="1"/>
  <c r="AB153" i="1"/>
  <c r="AB30" i="1"/>
  <c r="AJ153" i="1"/>
  <c r="AJ30" i="1"/>
  <c r="AR153" i="1"/>
  <c r="AR30" i="1"/>
  <c r="AZ153" i="1"/>
  <c r="AZ30" i="1"/>
  <c r="K54" i="1"/>
  <c r="J156" i="1"/>
  <c r="J65" i="1"/>
  <c r="J70" i="1"/>
  <c r="J68" i="1"/>
  <c r="J63" i="1"/>
  <c r="J66" i="1"/>
  <c r="J69" i="1"/>
  <c r="AX156" i="1"/>
  <c r="AX65" i="1"/>
  <c r="AX70" i="1"/>
  <c r="AX66" i="1"/>
  <c r="AX68" i="1"/>
  <c r="AX64" i="1"/>
  <c r="AX67" i="1"/>
  <c r="O66" i="1"/>
  <c r="O156" i="1"/>
  <c r="O69" i="1"/>
  <c r="O65" i="1"/>
  <c r="O67" i="1"/>
  <c r="O64" i="1"/>
  <c r="O70" i="1"/>
  <c r="AU66" i="1"/>
  <c r="AU156" i="1"/>
  <c r="AU69" i="1"/>
  <c r="AU65" i="1"/>
  <c r="AU67" i="1"/>
  <c r="AU63" i="1"/>
  <c r="AU64" i="1"/>
  <c r="AU70" i="1"/>
  <c r="N69" i="1"/>
  <c r="N66" i="1"/>
  <c r="N68" i="1"/>
  <c r="N63" i="1"/>
  <c r="N65" i="1"/>
  <c r="AX63" i="1"/>
  <c r="J67" i="1"/>
  <c r="O68" i="1"/>
  <c r="AK17" i="1"/>
  <c r="AK187" i="1" s="1"/>
  <c r="L50" i="1"/>
  <c r="AP50" i="1"/>
  <c r="AI54" i="1"/>
  <c r="P63" i="1"/>
  <c r="P156" i="1"/>
  <c r="P68" i="1"/>
  <c r="P70" i="1"/>
  <c r="P64" i="1"/>
  <c r="P66" i="1"/>
  <c r="P69" i="1"/>
  <c r="P67" i="1"/>
  <c r="N67" i="1"/>
  <c r="Q84" i="1"/>
  <c r="U17" i="1"/>
  <c r="U187" i="1" s="1"/>
  <c r="J39" i="1"/>
  <c r="J40" i="1" s="1"/>
  <c r="R39" i="1"/>
  <c r="R40" i="1" s="1"/>
  <c r="Z39" i="1"/>
  <c r="Z40" i="1" s="1"/>
  <c r="AH39" i="1"/>
  <c r="AH40" i="1" s="1"/>
  <c r="AP39" i="1"/>
  <c r="AP40" i="1" s="1"/>
  <c r="AX39" i="1"/>
  <c r="AX40" i="1" s="1"/>
  <c r="I89" i="1" a="1"/>
  <c r="I89" i="1" s="1"/>
  <c r="I54" i="1"/>
  <c r="I47" i="1"/>
  <c r="Q89" i="1" a="1"/>
  <c r="Q89" i="1" s="1"/>
  <c r="Q54" i="1"/>
  <c r="Q47" i="1"/>
  <c r="Y89" i="1" a="1"/>
  <c r="Y89" i="1" s="1"/>
  <c r="Y54" i="1"/>
  <c r="Y47" i="1"/>
  <c r="AG89" i="1" a="1"/>
  <c r="AG89" i="1" s="1"/>
  <c r="AG54" i="1"/>
  <c r="AG47" i="1"/>
  <c r="AO89" i="1" a="1"/>
  <c r="AO89" i="1" s="1"/>
  <c r="AO54" i="1"/>
  <c r="AO47" i="1"/>
  <c r="AW54" i="1"/>
  <c r="AW47" i="1"/>
  <c r="S50" i="1"/>
  <c r="AX50" i="1"/>
  <c r="M61" i="1"/>
  <c r="U61" i="1"/>
  <c r="AC61" i="1"/>
  <c r="BA61" i="1"/>
  <c r="N64" i="1"/>
  <c r="P65" i="1"/>
  <c r="AO84" i="1"/>
  <c r="BA82" i="1"/>
  <c r="AL84" i="1"/>
  <c r="Z156" i="1"/>
  <c r="Z65" i="1"/>
  <c r="Z70" i="1"/>
  <c r="Z68" i="1"/>
  <c r="Z66" i="1"/>
  <c r="Z67" i="1"/>
  <c r="W84" i="1"/>
  <c r="K182" i="1"/>
  <c r="K179" i="1"/>
  <c r="K196" i="1"/>
  <c r="AQ182" i="1"/>
  <c r="AQ179" i="1"/>
  <c r="AQ196" i="1"/>
  <c r="T205" i="1"/>
  <c r="T206" i="1" s="1"/>
  <c r="AZ205" i="1"/>
  <c r="AZ206" i="1" s="1"/>
  <c r="AG205" i="1"/>
  <c r="AS17" i="1"/>
  <c r="AS187" i="1" s="1"/>
  <c r="K39" i="1"/>
  <c r="K40" i="1" s="1"/>
  <c r="S39" i="1"/>
  <c r="S40" i="1" s="1"/>
  <c r="AA39" i="1"/>
  <c r="AA40" i="1" s="1"/>
  <c r="AI39" i="1"/>
  <c r="AI40" i="1" s="1"/>
  <c r="AQ39" i="1"/>
  <c r="AQ40" i="1" s="1"/>
  <c r="AY39" i="1"/>
  <c r="AY40" i="1" s="1"/>
  <c r="J89" i="1" a="1"/>
  <c r="J89" i="1" s="1"/>
  <c r="J54" i="1"/>
  <c r="J47" i="1"/>
  <c r="R89" i="1" a="1"/>
  <c r="R89" i="1" s="1"/>
  <c r="R54" i="1"/>
  <c r="R47" i="1"/>
  <c r="Z89" i="1" a="1"/>
  <c r="Z89" i="1" s="1"/>
  <c r="Z54" i="1"/>
  <c r="Z47" i="1"/>
  <c r="AH54" i="1"/>
  <c r="AH47" i="1"/>
  <c r="AP89" i="1" a="1"/>
  <c r="AP89" i="1" s="1"/>
  <c r="AP54" i="1"/>
  <c r="AP47" i="1"/>
  <c r="AX89" i="1" a="1"/>
  <c r="AX89" i="1" s="1"/>
  <c r="AX54" i="1"/>
  <c r="AX47" i="1"/>
  <c r="T50" i="1"/>
  <c r="AZ50" i="1"/>
  <c r="V156" i="1"/>
  <c r="V69" i="1"/>
  <c r="V66" i="1"/>
  <c r="V68" i="1"/>
  <c r="V70" i="1"/>
  <c r="V64" i="1"/>
  <c r="V67" i="1"/>
  <c r="V65" i="1"/>
  <c r="V63" i="1"/>
  <c r="Z63" i="1"/>
  <c r="AX69" i="1"/>
  <c r="E80" i="1"/>
  <c r="AR161" i="1"/>
  <c r="AR162" i="1" s="1" a="1"/>
  <c r="AR162" i="1" s="1"/>
  <c r="AP156" i="1"/>
  <c r="AP65" i="1"/>
  <c r="AP70" i="1"/>
  <c r="AP68" i="1"/>
  <c r="AP66" i="1"/>
  <c r="AP64" i="1"/>
  <c r="AP69" i="1"/>
  <c r="AP63" i="1"/>
  <c r="L61" i="1"/>
  <c r="S196" i="1"/>
  <c r="S179" i="1"/>
  <c r="S182" i="1"/>
  <c r="AY196" i="1"/>
  <c r="AY182" i="1"/>
  <c r="AY179" i="1"/>
  <c r="AB205" i="1"/>
  <c r="AB206" i="1" s="1"/>
  <c r="I205" i="1"/>
  <c r="AO205" i="1"/>
  <c r="AQ205" i="1"/>
  <c r="H17" i="1"/>
  <c r="H187" i="1" s="1"/>
  <c r="P17" i="1"/>
  <c r="P187" i="1" s="1"/>
  <c r="X17" i="1"/>
  <c r="X187" i="1" s="1"/>
  <c r="AF17" i="1"/>
  <c r="AF187" i="1" s="1"/>
  <c r="AN17" i="1"/>
  <c r="AN187" i="1" s="1"/>
  <c r="AV17" i="1"/>
  <c r="AV187" i="1" s="1"/>
  <c r="E17" i="1"/>
  <c r="K47" i="1"/>
  <c r="S89" i="1" a="1"/>
  <c r="S89" i="1" s="1"/>
  <c r="S47" i="1"/>
  <c r="AA89" i="1" a="1"/>
  <c r="AA89" i="1" s="1"/>
  <c r="AA47" i="1"/>
  <c r="AI89" i="1" a="1"/>
  <c r="AI89" i="1" s="1"/>
  <c r="AI47" i="1"/>
  <c r="AQ89" i="1" a="1"/>
  <c r="AQ89" i="1" s="1"/>
  <c r="AQ47" i="1"/>
  <c r="AY89" i="1" a="1"/>
  <c r="AY89" i="1" s="1"/>
  <c r="AY47" i="1"/>
  <c r="G61" i="1"/>
  <c r="W61" i="1"/>
  <c r="AE61" i="1"/>
  <c r="AM61" i="1"/>
  <c r="AR61" i="1"/>
  <c r="AL156" i="1"/>
  <c r="AL69" i="1"/>
  <c r="AL66" i="1"/>
  <c r="AL70" i="1"/>
  <c r="AL68" i="1"/>
  <c r="AL67" i="1"/>
  <c r="AL65" i="1"/>
  <c r="AL64" i="1"/>
  <c r="AL63" i="1"/>
  <c r="Z64" i="1"/>
  <c r="AP67" i="1"/>
  <c r="AU68" i="1"/>
  <c r="E84" i="1"/>
  <c r="M77" i="1"/>
  <c r="M84" i="1" s="1"/>
  <c r="M80" i="1"/>
  <c r="AC77" i="1"/>
  <c r="AC80" i="1"/>
  <c r="AS84" i="1"/>
  <c r="BA80" i="1"/>
  <c r="BA77" i="1"/>
  <c r="BA84" i="1" s="1"/>
  <c r="AM82" i="1"/>
  <c r="AM77" i="1"/>
  <c r="AM84" i="1" s="1"/>
  <c r="K80" i="1"/>
  <c r="L161" i="1"/>
  <c r="AB161" i="1"/>
  <c r="T61" i="1"/>
  <c r="O63" i="1"/>
  <c r="J64" i="1"/>
  <c r="G84" i="1"/>
  <c r="N156" i="1"/>
  <c r="AA182" i="1"/>
  <c r="AA179" i="1"/>
  <c r="AA196" i="1"/>
  <c r="D205" i="1"/>
  <c r="AJ205" i="1"/>
  <c r="Q205" i="1"/>
  <c r="Q206" i="1" s="1"/>
  <c r="AW205" i="1"/>
  <c r="AW206" i="1" s="1"/>
  <c r="H205" i="1"/>
  <c r="H206" i="1" s="1"/>
  <c r="AY243" i="1"/>
  <c r="AY244" i="1" s="1"/>
  <c r="AQ243" i="1"/>
  <c r="AQ244" i="1" s="1"/>
  <c r="AI243" i="1"/>
  <c r="AI244" i="1" s="1"/>
  <c r="AA243" i="1"/>
  <c r="AA244" i="1" s="1"/>
  <c r="S243" i="1"/>
  <c r="S244" i="1" s="1"/>
  <c r="K243" i="1"/>
  <c r="K244" i="1" s="1"/>
  <c r="BB242" i="1"/>
  <c r="BB253" i="1" s="1"/>
  <c r="AT242" i="1"/>
  <c r="AT252" i="1" s="1"/>
  <c r="AL242" i="1"/>
  <c r="AL254" i="1" s="1"/>
  <c r="AD242" i="1"/>
  <c r="AD252" i="1" s="1"/>
  <c r="V242" i="1"/>
  <c r="V254" i="1" s="1"/>
  <c r="N242" i="1"/>
  <c r="N272" i="1" s="1"/>
  <c r="F242" i="1"/>
  <c r="AX243" i="1"/>
  <c r="AX244" i="1" s="1"/>
  <c r="AP243" i="1"/>
  <c r="AP244" i="1" s="1"/>
  <c r="AH243" i="1"/>
  <c r="AH244" i="1" s="1"/>
  <c r="Z243" i="1"/>
  <c r="Z244" i="1" s="1"/>
  <c r="R243" i="1"/>
  <c r="R244" i="1" s="1"/>
  <c r="J243" i="1"/>
  <c r="J244" i="1" s="1"/>
  <c r="BA242" i="1"/>
  <c r="AS242" i="1"/>
  <c r="AK242" i="1"/>
  <c r="AK272" i="1" s="1"/>
  <c r="AC242" i="1"/>
  <c r="AC272" i="1" s="1"/>
  <c r="U242" i="1"/>
  <c r="U253" i="1" s="1"/>
  <c r="M242" i="1"/>
  <c r="M252" i="1" s="1"/>
  <c r="E242" i="1"/>
  <c r="E254" i="1" s="1"/>
  <c r="AW243" i="1"/>
  <c r="AW244" i="1" s="1"/>
  <c r="AO243" i="1"/>
  <c r="AO244" i="1" s="1"/>
  <c r="AG243" i="1"/>
  <c r="AG244" i="1" s="1"/>
  <c r="Y243" i="1"/>
  <c r="Y244" i="1" s="1"/>
  <c r="Q243" i="1"/>
  <c r="Q244" i="1" s="1"/>
  <c r="I243" i="1"/>
  <c r="I244" i="1" s="1"/>
  <c r="AZ242" i="1"/>
  <c r="AZ271" i="1" s="1"/>
  <c r="AR242" i="1"/>
  <c r="AR272" i="1" s="1"/>
  <c r="AJ242" i="1"/>
  <c r="AJ255" i="1" s="1"/>
  <c r="AB242" i="1"/>
  <c r="AB255" i="1" s="1"/>
  <c r="T242" i="1"/>
  <c r="L242" i="1"/>
  <c r="L253" i="1" s="1"/>
  <c r="D242" i="1"/>
  <c r="AU243" i="1"/>
  <c r="AU244" i="1" s="1"/>
  <c r="AM243" i="1"/>
  <c r="AM244" i="1" s="1"/>
  <c r="AE243" i="1"/>
  <c r="AE244" i="1" s="1"/>
  <c r="W243" i="1"/>
  <c r="W244" i="1" s="1"/>
  <c r="O243" i="1"/>
  <c r="O244" i="1" s="1"/>
  <c r="G243" i="1"/>
  <c r="G244" i="1" s="1"/>
  <c r="AX242" i="1"/>
  <c r="AX253" i="1" s="1"/>
  <c r="AP242" i="1"/>
  <c r="AP272" i="1" s="1"/>
  <c r="AH242" i="1"/>
  <c r="AH252" i="1" s="1"/>
  <c r="Z242" i="1"/>
  <c r="Z253" i="1" s="1"/>
  <c r="R242" i="1"/>
  <c r="R270" i="1" s="1"/>
  <c r="J242" i="1"/>
  <c r="J251" i="1" s="1"/>
  <c r="AV243" i="1"/>
  <c r="AV244" i="1" s="1"/>
  <c r="AF243" i="1"/>
  <c r="AF244" i="1" s="1"/>
  <c r="P243" i="1"/>
  <c r="P244" i="1" s="1"/>
  <c r="AY242" i="1"/>
  <c r="AY270" i="1" s="1"/>
  <c r="AI242" i="1"/>
  <c r="AI254" i="1" s="1"/>
  <c r="S242" i="1"/>
  <c r="S251" i="1" s="1"/>
  <c r="AT243" i="1"/>
  <c r="AT244" i="1" s="1"/>
  <c r="AD243" i="1"/>
  <c r="AD244" i="1" s="1"/>
  <c r="N243" i="1"/>
  <c r="N244" i="1" s="1"/>
  <c r="AW242" i="1"/>
  <c r="AG242" i="1"/>
  <c r="AG272" i="1" s="1"/>
  <c r="Q242" i="1"/>
  <c r="Q251" i="1" s="1"/>
  <c r="AS243" i="1"/>
  <c r="AS244" i="1" s="1"/>
  <c r="AC243" i="1"/>
  <c r="AC244" i="1" s="1"/>
  <c r="M243" i="1"/>
  <c r="M244" i="1" s="1"/>
  <c r="AV242" i="1"/>
  <c r="AV253" i="1" s="1"/>
  <c r="AF242" i="1"/>
  <c r="P242" i="1"/>
  <c r="AR243" i="1"/>
  <c r="AR244" i="1" s="1"/>
  <c r="AB243" i="1"/>
  <c r="AB244" i="1" s="1"/>
  <c r="L243" i="1"/>
  <c r="L244" i="1" s="1"/>
  <c r="AU242" i="1"/>
  <c r="AU231" i="1" s="1"/>
  <c r="AE242" i="1"/>
  <c r="AE253" i="1" s="1"/>
  <c r="O242" i="1"/>
  <c r="O253" i="1" s="1"/>
  <c r="AN243" i="1"/>
  <c r="AN244" i="1" s="1"/>
  <c r="X243" i="1"/>
  <c r="X244" i="1" s="1"/>
  <c r="H243" i="1"/>
  <c r="H244" i="1" s="1"/>
  <c r="AQ242" i="1"/>
  <c r="AQ252" i="1" s="1"/>
  <c r="AA242" i="1"/>
  <c r="AA255" i="1" s="1"/>
  <c r="K242" i="1"/>
  <c r="K251" i="1" s="1"/>
  <c r="BB243" i="1"/>
  <c r="BB244" i="1" s="1"/>
  <c r="AL243" i="1"/>
  <c r="AL244" i="1" s="1"/>
  <c r="V243" i="1"/>
  <c r="V244" i="1" s="1"/>
  <c r="F243" i="1"/>
  <c r="F244" i="1" s="1"/>
  <c r="AO242" i="1"/>
  <c r="AO272" i="1" s="1"/>
  <c r="Y242" i="1"/>
  <c r="Y271" i="1" s="1"/>
  <c r="I242" i="1"/>
  <c r="I251" i="1" s="1"/>
  <c r="BA243" i="1"/>
  <c r="BA244" i="1" s="1"/>
  <c r="AK243" i="1"/>
  <c r="AK244" i="1" s="1"/>
  <c r="U243" i="1"/>
  <c r="U244" i="1" s="1"/>
  <c r="E243" i="1"/>
  <c r="E244" i="1" s="1"/>
  <c r="AN242" i="1"/>
  <c r="X242" i="1"/>
  <c r="X253" i="1" s="1"/>
  <c r="H242" i="1"/>
  <c r="H231" i="1" s="1"/>
  <c r="AZ243" i="1"/>
  <c r="AZ244" i="1" s="1"/>
  <c r="AJ243" i="1"/>
  <c r="AJ244" i="1" s="1"/>
  <c r="T243" i="1"/>
  <c r="T244" i="1" s="1"/>
  <c r="D243" i="1"/>
  <c r="AM242" i="1"/>
  <c r="AM272" i="1" s="1"/>
  <c r="W242" i="1"/>
  <c r="W272" i="1" s="1"/>
  <c r="G242" i="1"/>
  <c r="G252" i="1" s="1"/>
  <c r="AW50" i="1"/>
  <c r="AO50" i="1"/>
  <c r="AG50" i="1"/>
  <c r="Y50" i="1"/>
  <c r="Q50" i="1"/>
  <c r="I50" i="1"/>
  <c r="AV50" i="1"/>
  <c r="AN50" i="1"/>
  <c r="AF50" i="1"/>
  <c r="X50" i="1"/>
  <c r="P50" i="1"/>
  <c r="H50" i="1"/>
  <c r="AU50" i="1"/>
  <c r="AM50" i="1"/>
  <c r="AE50" i="1"/>
  <c r="W50" i="1"/>
  <c r="O50" i="1"/>
  <c r="G50" i="1"/>
  <c r="BB50" i="1"/>
  <c r="AT50" i="1"/>
  <c r="AL50" i="1"/>
  <c r="AD50" i="1"/>
  <c r="V50" i="1"/>
  <c r="N50" i="1"/>
  <c r="F50" i="1"/>
  <c r="F51" i="1" s="1"/>
  <c r="BA50" i="1"/>
  <c r="AS50" i="1"/>
  <c r="AK50" i="1"/>
  <c r="AC50" i="1"/>
  <c r="U50" i="1"/>
  <c r="M50" i="1"/>
  <c r="E50" i="1"/>
  <c r="E51" i="1" s="1"/>
  <c r="AY50" i="1"/>
  <c r="AQ50" i="1"/>
  <c r="AI50" i="1"/>
  <c r="AA50" i="1"/>
  <c r="AC17" i="1"/>
  <c r="AC187" i="1" s="1"/>
  <c r="E39" i="1"/>
  <c r="E40" i="1" s="1"/>
  <c r="M39" i="1"/>
  <c r="M40" i="1" s="1"/>
  <c r="U39" i="1"/>
  <c r="U40" i="1" s="1"/>
  <c r="AC39" i="1"/>
  <c r="AC40" i="1" s="1"/>
  <c r="AK39" i="1"/>
  <c r="AK40" i="1" s="1"/>
  <c r="AS39" i="1"/>
  <c r="AS40" i="1" s="1"/>
  <c r="BA39" i="1"/>
  <c r="BA40" i="1" s="1"/>
  <c r="J30" i="1"/>
  <c r="R30" i="1"/>
  <c r="Z30" i="1"/>
  <c r="AH30" i="1"/>
  <c r="AP30" i="1"/>
  <c r="AX30" i="1"/>
  <c r="AB50" i="1"/>
  <c r="AN280" i="1"/>
  <c r="AA54" i="1"/>
  <c r="H156" i="1"/>
  <c r="H63" i="1"/>
  <c r="H68" i="1"/>
  <c r="H66" i="1"/>
  <c r="H67" i="1"/>
  <c r="H65" i="1"/>
  <c r="H64" i="1"/>
  <c r="H70" i="1"/>
  <c r="AF63" i="1"/>
  <c r="AF68" i="1"/>
  <c r="AF156" i="1"/>
  <c r="AF70" i="1"/>
  <c r="AF66" i="1"/>
  <c r="AF64" i="1"/>
  <c r="AF69" i="1"/>
  <c r="AF67" i="1"/>
  <c r="AF65" i="1"/>
  <c r="AN156" i="1"/>
  <c r="AN63" i="1"/>
  <c r="AN68" i="1"/>
  <c r="AN66" i="1"/>
  <c r="AN64" i="1"/>
  <c r="AN70" i="1"/>
  <c r="AN67" i="1"/>
  <c r="E64" i="1"/>
  <c r="E69" i="1"/>
  <c r="E156" i="1"/>
  <c r="E65" i="1"/>
  <c r="E67" i="1"/>
  <c r="E66" i="1"/>
  <c r="E70" i="1" s="1"/>
  <c r="AK64" i="1"/>
  <c r="AK69" i="1"/>
  <c r="AK156" i="1"/>
  <c r="AK65" i="1"/>
  <c r="AK67" i="1"/>
  <c r="AK70" i="1"/>
  <c r="AK68" i="1"/>
  <c r="AK66" i="1"/>
  <c r="AT69" i="1"/>
  <c r="AT66" i="1"/>
  <c r="AT64" i="1"/>
  <c r="AT63" i="1"/>
  <c r="AT67" i="1"/>
  <c r="AT156" i="1"/>
  <c r="AT65" i="1"/>
  <c r="AT68" i="1"/>
  <c r="AK63" i="1"/>
  <c r="AN65" i="1"/>
  <c r="H69" i="1"/>
  <c r="N70" i="1"/>
  <c r="F84" i="1"/>
  <c r="D268" i="1" s="1"/>
  <c r="V84" i="1"/>
  <c r="AD84" i="1"/>
  <c r="BB84" i="1"/>
  <c r="AV84" i="1"/>
  <c r="AA80" i="1"/>
  <c r="AH89" i="1" a="1"/>
  <c r="AH89" i="1" s="1"/>
  <c r="R156" i="1"/>
  <c r="R65" i="1"/>
  <c r="R70" i="1"/>
  <c r="R66" i="1"/>
  <c r="R68" i="1"/>
  <c r="R69" i="1"/>
  <c r="R67" i="1"/>
  <c r="R64" i="1"/>
  <c r="AZ61" i="1"/>
  <c r="X156" i="1"/>
  <c r="X63" i="1"/>
  <c r="X68" i="1"/>
  <c r="X66" i="1"/>
  <c r="X65" i="1"/>
  <c r="X70" i="1"/>
  <c r="X69" i="1"/>
  <c r="X64" i="1"/>
  <c r="X67" i="1"/>
  <c r="AI196" i="1"/>
  <c r="AI197" i="1" s="1"/>
  <c r="AI201" i="1" s="1"/>
  <c r="AI202" i="1" s="1"/>
  <c r="AI179" i="1"/>
  <c r="AI182" i="1"/>
  <c r="L205" i="1"/>
  <c r="AR205" i="1"/>
  <c r="Y205" i="1"/>
  <c r="AN205" i="1"/>
  <c r="AN206" i="1" s="1"/>
  <c r="J17" i="1"/>
  <c r="J187" i="1" s="1"/>
  <c r="R17" i="1"/>
  <c r="R187" i="1" s="1"/>
  <c r="Z17" i="1"/>
  <c r="Z187" i="1" s="1"/>
  <c r="AH17" i="1"/>
  <c r="AH187" i="1" s="1"/>
  <c r="AP17" i="1"/>
  <c r="AP187" i="1" s="1"/>
  <c r="AX17" i="1"/>
  <c r="AX187" i="1" s="1"/>
  <c r="D187" i="1"/>
  <c r="E33" i="1"/>
  <c r="E34" i="1" s="1"/>
  <c r="F39" i="1"/>
  <c r="F40" i="1" s="1"/>
  <c r="N39" i="1"/>
  <c r="N40" i="1" s="1"/>
  <c r="V39" i="1"/>
  <c r="V40" i="1" s="1"/>
  <c r="AD39" i="1"/>
  <c r="AD40" i="1" s="1"/>
  <c r="AL39" i="1"/>
  <c r="AL40" i="1" s="1"/>
  <c r="AT39" i="1"/>
  <c r="AT40" i="1" s="1"/>
  <c r="BB39" i="1"/>
  <c r="BB40" i="1" s="1"/>
  <c r="K153" i="1"/>
  <c r="K161" i="1" s="1"/>
  <c r="K30" i="1"/>
  <c r="S153" i="1"/>
  <c r="S30" i="1"/>
  <c r="AA153" i="1"/>
  <c r="AA30" i="1"/>
  <c r="AI153" i="1"/>
  <c r="AI161" i="1" s="1"/>
  <c r="AI30" i="1"/>
  <c r="AQ153" i="1"/>
  <c r="AQ30" i="1"/>
  <c r="AY153" i="1"/>
  <c r="AY161" i="1" s="1"/>
  <c r="AY162" i="1" s="1" a="1"/>
  <c r="AY162" i="1" s="1"/>
  <c r="AY30" i="1"/>
  <c r="J50" i="1"/>
  <c r="AH50" i="1"/>
  <c r="AY54" i="1"/>
  <c r="I61" i="1"/>
  <c r="Y61" i="1"/>
  <c r="AG61" i="1"/>
  <c r="AO61" i="1"/>
  <c r="AW61" i="1"/>
  <c r="AD69" i="1"/>
  <c r="AD66" i="1"/>
  <c r="AD63" i="1"/>
  <c r="AD156" i="1"/>
  <c r="AD64" i="1"/>
  <c r="AD67" i="1"/>
  <c r="AD70" i="1"/>
  <c r="F156" i="1"/>
  <c r="F66" i="1"/>
  <c r="F70" i="1" s="1"/>
  <c r="F67" i="1"/>
  <c r="F64" i="1"/>
  <c r="F68" i="1" s="1"/>
  <c r="F65" i="1"/>
  <c r="F69" i="1" s="1"/>
  <c r="F63" i="1"/>
  <c r="E68" i="1"/>
  <c r="L82" i="1"/>
  <c r="I280" i="1"/>
  <c r="AO280" i="1"/>
  <c r="Q61" i="1"/>
  <c r="AA81" i="1"/>
  <c r="H82" i="1"/>
  <c r="X82" i="1"/>
  <c r="X77" i="1"/>
  <c r="X84" i="1" s="1"/>
  <c r="AN82" i="1"/>
  <c r="U83" i="1"/>
  <c r="F80" i="1"/>
  <c r="AV82" i="1"/>
  <c r="J151" i="1"/>
  <c r="J161" i="1" s="1"/>
  <c r="J153" i="1"/>
  <c r="R151" i="1"/>
  <c r="R153" i="1"/>
  <c r="Z151" i="1"/>
  <c r="Z153" i="1"/>
  <c r="AH151" i="1"/>
  <c r="AH153" i="1"/>
  <c r="AP151" i="1"/>
  <c r="AP161" i="1" s="1"/>
  <c r="AP162" i="1" s="1" a="1"/>
  <c r="AP162" i="1" s="1"/>
  <c r="AP153" i="1"/>
  <c r="AX151" i="1"/>
  <c r="AX153" i="1"/>
  <c r="AQ161" i="1"/>
  <c r="AQ162" i="1" s="1" a="1"/>
  <c r="AQ162" i="1" s="1"/>
  <c r="K205" i="1"/>
  <c r="K206" i="1" s="1"/>
  <c r="S205" i="1"/>
  <c r="AA205" i="1"/>
  <c r="AI205" i="1"/>
  <c r="AY205" i="1"/>
  <c r="P205" i="1"/>
  <c r="AF205" i="1"/>
  <c r="AV205" i="1"/>
  <c r="AV206" i="1" s="1"/>
  <c r="X205" i="1"/>
  <c r="X206" i="1" s="1"/>
  <c r="L89" i="1" a="1"/>
  <c r="L89" i="1" s="1"/>
  <c r="T89" i="1" a="1"/>
  <c r="T89" i="1" s="1"/>
  <c r="AB89" i="1" a="1"/>
  <c r="AB89" i="1" s="1"/>
  <c r="AJ89" i="1" a="1"/>
  <c r="AJ89" i="1" s="1"/>
  <c r="AR89" i="1" a="1"/>
  <c r="AR89" i="1" s="1"/>
  <c r="AZ89" i="1" a="1"/>
  <c r="AZ89" i="1" s="1"/>
  <c r="K280" i="1"/>
  <c r="S280" i="1"/>
  <c r="F54" i="1"/>
  <c r="BB54" i="1"/>
  <c r="K61" i="1"/>
  <c r="S61" i="1"/>
  <c r="AA61" i="1"/>
  <c r="AI61" i="1"/>
  <c r="AQ61" i="1"/>
  <c r="AY61" i="1"/>
  <c r="H80" i="1"/>
  <c r="P80" i="1"/>
  <c r="X80" i="1"/>
  <c r="AF80" i="1"/>
  <c r="AN80" i="1"/>
  <c r="AV80" i="1"/>
  <c r="E81" i="1"/>
  <c r="M81" i="1"/>
  <c r="U81" i="1"/>
  <c r="AC81" i="1"/>
  <c r="AK81" i="1"/>
  <c r="AS81" i="1"/>
  <c r="BA81" i="1"/>
  <c r="J82" i="1"/>
  <c r="R82" i="1"/>
  <c r="Z82" i="1"/>
  <c r="AH82" i="1"/>
  <c r="AP82" i="1"/>
  <c r="AX82" i="1"/>
  <c r="G83" i="1"/>
  <c r="O83" i="1"/>
  <c r="W83" i="1"/>
  <c r="AE83" i="1"/>
  <c r="AM83" i="1"/>
  <c r="AU83" i="1"/>
  <c r="BB80" i="1"/>
  <c r="AF82" i="1"/>
  <c r="E107" i="1"/>
  <c r="M107" i="1"/>
  <c r="AC107" i="1"/>
  <c r="AK252" i="1"/>
  <c r="AK107" i="1"/>
  <c r="AS252" i="1"/>
  <c r="AS107" i="1"/>
  <c r="AS111" i="1"/>
  <c r="BA252" i="1"/>
  <c r="G143" i="1"/>
  <c r="G144" i="1" s="1"/>
  <c r="E89" i="1" a="1"/>
  <c r="E89" i="1" s="1"/>
  <c r="U89" i="1" a="1"/>
  <c r="U89" i="1" s="1"/>
  <c r="AC89" i="1" a="1"/>
  <c r="AC89" i="1" s="1"/>
  <c r="AK89" i="1" a="1"/>
  <c r="AK89" i="1" s="1"/>
  <c r="BA89" i="1" a="1"/>
  <c r="BA89" i="1" s="1"/>
  <c r="AJ61" i="1"/>
  <c r="I80" i="1"/>
  <c r="Q80" i="1"/>
  <c r="Y80" i="1"/>
  <c r="AG80" i="1"/>
  <c r="AG77" i="1"/>
  <c r="AG84" i="1" s="1"/>
  <c r="AO80" i="1"/>
  <c r="AW80" i="1"/>
  <c r="AW77" i="1"/>
  <c r="AW84" i="1" s="1"/>
  <c r="F81" i="1"/>
  <c r="N81" i="1"/>
  <c r="V81" i="1"/>
  <c r="AD81" i="1"/>
  <c r="AL81" i="1"/>
  <c r="AT81" i="1"/>
  <c r="BB81" i="1"/>
  <c r="K82" i="1"/>
  <c r="S82" i="1"/>
  <c r="AA82" i="1"/>
  <c r="AI82" i="1"/>
  <c r="AQ82" i="1"/>
  <c r="AY82" i="1"/>
  <c r="H83" i="1"/>
  <c r="P83" i="1"/>
  <c r="X83" i="1"/>
  <c r="AF83" i="1"/>
  <c r="AN83" i="1"/>
  <c r="AV83" i="1"/>
  <c r="Y77" i="1"/>
  <c r="Y84" i="1" s="1"/>
  <c r="AT77" i="1"/>
  <c r="AT84" i="1" s="1"/>
  <c r="AJ80" i="1"/>
  <c r="G81" i="1"/>
  <c r="F137" i="1"/>
  <c r="F143" i="1"/>
  <c r="F105" i="1"/>
  <c r="F109" i="1"/>
  <c r="N137" i="1"/>
  <c r="N105" i="1"/>
  <c r="N143" i="1"/>
  <c r="N109" i="1"/>
  <c r="V137" i="1"/>
  <c r="V143" i="1"/>
  <c r="V105" i="1"/>
  <c r="V109" i="1"/>
  <c r="AD137" i="1"/>
  <c r="AD105" i="1"/>
  <c r="AD143" i="1"/>
  <c r="AD109" i="1"/>
  <c r="AL137" i="1"/>
  <c r="AL143" i="1"/>
  <c r="AL105" i="1"/>
  <c r="AL109" i="1"/>
  <c r="AT137" i="1"/>
  <c r="AT105" i="1"/>
  <c r="AT143" i="1"/>
  <c r="AT109" i="1"/>
  <c r="BB137" i="1"/>
  <c r="BB143" i="1"/>
  <c r="BB144" i="1" s="1"/>
  <c r="BB105" i="1"/>
  <c r="BB109" i="1"/>
  <c r="K124" i="1"/>
  <c r="K125" i="1" s="1"/>
  <c r="S124" i="1"/>
  <c r="S125" i="1" s="1"/>
  <c r="AA124" i="1"/>
  <c r="AI124" i="1"/>
  <c r="AI125" i="1" s="1"/>
  <c r="AQ230" i="1" a="1"/>
  <c r="AQ230" i="1" s="1"/>
  <c r="AQ124" i="1"/>
  <c r="AQ125" i="1" s="1"/>
  <c r="AY230" i="1" a="1"/>
  <c r="AY230" i="1" s="1"/>
  <c r="AY124" i="1"/>
  <c r="AY125" i="1" s="1"/>
  <c r="AV125" i="1"/>
  <c r="F272" i="1"/>
  <c r="K105" i="1"/>
  <c r="S105" i="1"/>
  <c r="AA105" i="1"/>
  <c r="AI105" i="1"/>
  <c r="AQ105" i="1"/>
  <c r="F252" i="1"/>
  <c r="F107" i="1"/>
  <c r="N107" i="1"/>
  <c r="V252" i="1"/>
  <c r="V107" i="1"/>
  <c r="AD107" i="1"/>
  <c r="AL252" i="1"/>
  <c r="AL107" i="1"/>
  <c r="AT107" i="1"/>
  <c r="AT111" i="1"/>
  <c r="BB107" i="1"/>
  <c r="BB111" i="1"/>
  <c r="G111" i="1"/>
  <c r="G109" i="1"/>
  <c r="O111" i="1"/>
  <c r="W253" i="1"/>
  <c r="W109" i="1"/>
  <c r="AE109" i="1"/>
  <c r="AM253" i="1"/>
  <c r="AM109" i="1"/>
  <c r="AU253" i="1"/>
  <c r="AI162" i="1" a="1"/>
  <c r="AI162" i="1" s="1"/>
  <c r="J206" i="1"/>
  <c r="R206" i="1"/>
  <c r="Z206" i="1"/>
  <c r="AH206" i="1"/>
  <c r="AP206" i="1"/>
  <c r="AX206" i="1"/>
  <c r="N89" i="1" a="1"/>
  <c r="N89" i="1" s="1"/>
  <c r="AD89" i="1" a="1"/>
  <c r="AD89" i="1" s="1"/>
  <c r="AL89" i="1" a="1"/>
  <c r="AL89" i="1" s="1"/>
  <c r="AT89" i="1" a="1"/>
  <c r="AT89" i="1" s="1"/>
  <c r="H54" i="1"/>
  <c r="P54" i="1"/>
  <c r="X54" i="1"/>
  <c r="AF54" i="1"/>
  <c r="AN54" i="1"/>
  <c r="AV54" i="1"/>
  <c r="AS61" i="1"/>
  <c r="J77" i="1"/>
  <c r="J84" i="1" s="1"/>
  <c r="J80" i="1"/>
  <c r="R77" i="1"/>
  <c r="Z77" i="1"/>
  <c r="Z84" i="1" s="1"/>
  <c r="Z80" i="1"/>
  <c r="AH77" i="1"/>
  <c r="AH84" i="1" s="1"/>
  <c r="AP77" i="1"/>
  <c r="AP84" i="1" s="1"/>
  <c r="AP80" i="1"/>
  <c r="AX77" i="1"/>
  <c r="AX84" i="1" s="1"/>
  <c r="O77" i="1"/>
  <c r="O84" i="1" s="1"/>
  <c r="W81" i="1"/>
  <c r="AM81" i="1"/>
  <c r="AU77" i="1"/>
  <c r="AU84" i="1" s="1"/>
  <c r="D82" i="1"/>
  <c r="AJ82" i="1"/>
  <c r="AZ82" i="1"/>
  <c r="Q83" i="1"/>
  <c r="AW83" i="1"/>
  <c r="AL80" i="1"/>
  <c r="AE81" i="1"/>
  <c r="O137" i="1"/>
  <c r="O143" i="1"/>
  <c r="O144" i="1" s="1"/>
  <c r="O105" i="1"/>
  <c r="W105" i="1"/>
  <c r="W143" i="1"/>
  <c r="W144" i="1" s="1"/>
  <c r="AE137" i="1"/>
  <c r="AE143" i="1"/>
  <c r="AE144" i="1" s="1"/>
  <c r="AE105" i="1"/>
  <c r="AM105" i="1"/>
  <c r="AM137" i="1"/>
  <c r="AU137" i="1"/>
  <c r="AU143" i="1"/>
  <c r="AU144" i="1" s="1"/>
  <c r="AU105" i="1"/>
  <c r="T230" i="1" a="1"/>
  <c r="T230" i="1" s="1"/>
  <c r="T124" i="1"/>
  <c r="T125" i="1" s="1"/>
  <c r="AB124" i="1"/>
  <c r="AJ124" i="1"/>
  <c r="AJ125" i="1" s="1"/>
  <c r="AZ124" i="1"/>
  <c r="AZ125" i="1" s="1"/>
  <c r="G272" i="1"/>
  <c r="O272" i="1"/>
  <c r="L105" i="1"/>
  <c r="T251" i="1"/>
  <c r="T105" i="1"/>
  <c r="T111" i="1"/>
  <c r="AB251" i="1"/>
  <c r="AB105" i="1"/>
  <c r="AB111" i="1"/>
  <c r="AJ251" i="1"/>
  <c r="AJ105" i="1"/>
  <c r="AR105" i="1"/>
  <c r="AZ105" i="1"/>
  <c r="AR124" i="1"/>
  <c r="AM143" i="1"/>
  <c r="AM144" i="1" s="1"/>
  <c r="K168" i="1"/>
  <c r="G89" i="1" a="1"/>
  <c r="G89" i="1" s="1"/>
  <c r="O89" i="1" a="1"/>
  <c r="O89" i="1" s="1"/>
  <c r="AE89" i="1" a="1"/>
  <c r="AE89" i="1" s="1"/>
  <c r="AU89" i="1" a="1"/>
  <c r="AU89" i="1" s="1"/>
  <c r="L47" i="1"/>
  <c r="T47" i="1"/>
  <c r="AB47" i="1"/>
  <c r="AJ47" i="1"/>
  <c r="AR47" i="1"/>
  <c r="AZ47" i="1"/>
  <c r="BB61" i="1"/>
  <c r="H77" i="1"/>
  <c r="H84" i="1" s="1"/>
  <c r="P81" i="1"/>
  <c r="AN77" i="1"/>
  <c r="AV81" i="1"/>
  <c r="J83" i="1"/>
  <c r="AX83" i="1"/>
  <c r="I77" i="1"/>
  <c r="I84" i="1" s="1"/>
  <c r="L124" i="1"/>
  <c r="L125" i="1" s="1"/>
  <c r="G280" i="1"/>
  <c r="O280" i="1"/>
  <c r="D77" i="1"/>
  <c r="L77" i="1"/>
  <c r="L84" i="1" s="1"/>
  <c r="L80" i="1"/>
  <c r="T77" i="1"/>
  <c r="T84" i="1" s="1"/>
  <c r="AB77" i="1"/>
  <c r="AB84" i="1" s="1"/>
  <c r="AB80" i="1"/>
  <c r="AJ84" i="1"/>
  <c r="AR84" i="1"/>
  <c r="AZ84" i="1"/>
  <c r="I81" i="1"/>
  <c r="Y81" i="1"/>
  <c r="AO81" i="1"/>
  <c r="V82" i="1"/>
  <c r="AL82" i="1"/>
  <c r="BB82" i="1"/>
  <c r="AI83" i="1"/>
  <c r="N77" i="1"/>
  <c r="N84" i="1" s="1"/>
  <c r="D80" i="1"/>
  <c r="V80" i="1"/>
  <c r="AR80" i="1"/>
  <c r="O81" i="1"/>
  <c r="O109" i="1"/>
  <c r="K111" i="1"/>
  <c r="Q271" i="1"/>
  <c r="AW271" i="1"/>
  <c r="F273" i="1"/>
  <c r="N273" i="1"/>
  <c r="AQ144" i="1"/>
  <c r="V255" i="1"/>
  <c r="AL255" i="1"/>
  <c r="AR269" i="1"/>
  <c r="K77" i="1"/>
  <c r="K84" i="1" s="1"/>
  <c r="S77" i="1"/>
  <c r="S84" i="1" s="1"/>
  <c r="AA77" i="1"/>
  <c r="AA84" i="1" s="1"/>
  <c r="AI77" i="1"/>
  <c r="AI84" i="1" s="1"/>
  <c r="AQ77" i="1"/>
  <c r="AQ84" i="1" s="1"/>
  <c r="AY77" i="1"/>
  <c r="AY84" i="1" s="1"/>
  <c r="AI80" i="1"/>
  <c r="G107" i="1"/>
  <c r="O107" i="1"/>
  <c r="W252" i="1"/>
  <c r="W107" i="1"/>
  <c r="AE107" i="1"/>
  <c r="AM252" i="1"/>
  <c r="AM107" i="1"/>
  <c r="AU107" i="1"/>
  <c r="I111" i="1"/>
  <c r="Y123" i="1"/>
  <c r="AA161" i="1"/>
  <c r="AA162" i="1" s="1" a="1"/>
  <c r="AA162" i="1" s="1"/>
  <c r="K143" i="1"/>
  <c r="K144" i="1" s="1"/>
  <c r="K137" i="1"/>
  <c r="K107" i="1"/>
  <c r="S143" i="1"/>
  <c r="S144" i="1" s="1"/>
  <c r="S137" i="1"/>
  <c r="AA143" i="1"/>
  <c r="AA144" i="1" s="1"/>
  <c r="AA137" i="1"/>
  <c r="AA107" i="1"/>
  <c r="AI143" i="1"/>
  <c r="AI144" i="1" s="1"/>
  <c r="AI137" i="1"/>
  <c r="J231" i="1"/>
  <c r="J138" i="1"/>
  <c r="J111" i="1"/>
  <c r="R138" i="1"/>
  <c r="R111" i="1"/>
  <c r="Z231" i="1"/>
  <c r="Z138" i="1"/>
  <c r="AH138" i="1"/>
  <c r="AH111" i="1"/>
  <c r="AP138" i="1"/>
  <c r="AP111" i="1"/>
  <c r="AX231" i="1"/>
  <c r="AX138" i="1"/>
  <c r="AX111" i="1"/>
  <c r="D143" i="1"/>
  <c r="D137" i="1"/>
  <c r="L143" i="1"/>
  <c r="L144" i="1" s="1"/>
  <c r="L137" i="1"/>
  <c r="L109" i="1"/>
  <c r="L107" i="1"/>
  <c r="T143" i="1"/>
  <c r="T144" i="1" s="1"/>
  <c r="T137" i="1"/>
  <c r="T109" i="1"/>
  <c r="T107" i="1"/>
  <c r="AB143" i="1"/>
  <c r="AB144" i="1" s="1"/>
  <c r="AB137" i="1"/>
  <c r="AB109" i="1"/>
  <c r="AJ143" i="1"/>
  <c r="AJ144" i="1" s="1"/>
  <c r="AJ137" i="1"/>
  <c r="AJ109" i="1"/>
  <c r="AR143" i="1"/>
  <c r="AR144" i="1" s="1"/>
  <c r="AR137" i="1"/>
  <c r="AR109" i="1"/>
  <c r="AZ143" i="1"/>
  <c r="AZ144" i="1" s="1"/>
  <c r="AZ137" i="1"/>
  <c r="AZ109" i="1"/>
  <c r="I230" i="1" a="1"/>
  <c r="I230" i="1" s="1"/>
  <c r="I124" i="1"/>
  <c r="I125" i="1" s="1"/>
  <c r="Q124" i="1"/>
  <c r="Q125" i="1" s="1"/>
  <c r="Y230" i="1" a="1"/>
  <c r="Y230" i="1" s="1"/>
  <c r="Y124" i="1"/>
  <c r="Y125" i="1" s="1"/>
  <c r="Y137" i="1"/>
  <c r="AG230" i="1" a="1"/>
  <c r="AG230" i="1" s="1"/>
  <c r="AG124" i="1"/>
  <c r="AG125" i="1" s="1"/>
  <c r="AO230" i="1" a="1"/>
  <c r="AO230" i="1" s="1"/>
  <c r="AO124" i="1"/>
  <c r="AO125" i="1" s="1"/>
  <c r="AW124" i="1"/>
  <c r="AW125" i="1" s="1"/>
  <c r="D249" i="1"/>
  <c r="F125" i="1"/>
  <c r="T272" i="1"/>
  <c r="AB272" i="1"/>
  <c r="AZ272" i="1"/>
  <c r="Q105" i="1"/>
  <c r="AG105" i="1"/>
  <c r="AW251" i="1"/>
  <c r="AW105" i="1"/>
  <c r="Y111" i="1"/>
  <c r="L139" i="1"/>
  <c r="T270" i="1"/>
  <c r="T139" i="1"/>
  <c r="AB270" i="1"/>
  <c r="AB139" i="1"/>
  <c r="AJ139" i="1"/>
  <c r="AR139" i="1"/>
  <c r="AZ270" i="1"/>
  <c r="AZ139" i="1"/>
  <c r="AW168" i="1"/>
  <c r="L123" i="1"/>
  <c r="L167" i="1"/>
  <c r="T123" i="1"/>
  <c r="T167" i="1"/>
  <c r="AB123" i="1"/>
  <c r="AB167" i="1"/>
  <c r="AB168" i="1" s="1"/>
  <c r="G271" i="1"/>
  <c r="O271" i="1"/>
  <c r="W271" i="1"/>
  <c r="AJ273" i="1"/>
  <c r="AO144" i="1"/>
  <c r="AW144" i="1"/>
  <c r="M143" i="1"/>
  <c r="M144" i="1" s="1"/>
  <c r="Y201" i="1"/>
  <c r="Y202" i="1" s="1"/>
  <c r="G80" i="1"/>
  <c r="O80" i="1"/>
  <c r="W80" i="1"/>
  <c r="AE80" i="1"/>
  <c r="AM80" i="1"/>
  <c r="AU80" i="1"/>
  <c r="D81" i="1"/>
  <c r="L81" i="1"/>
  <c r="T81" i="1"/>
  <c r="AB81" i="1"/>
  <c r="AJ81" i="1"/>
  <c r="AR81" i="1"/>
  <c r="AZ81" i="1"/>
  <c r="I82" i="1"/>
  <c r="Q82" i="1"/>
  <c r="Y82" i="1"/>
  <c r="AG82" i="1"/>
  <c r="AO82" i="1"/>
  <c r="AW82" i="1"/>
  <c r="F83" i="1"/>
  <c r="N83" i="1"/>
  <c r="V83" i="1"/>
  <c r="AD83" i="1"/>
  <c r="AL83" i="1"/>
  <c r="E137" i="1"/>
  <c r="E143" i="1"/>
  <c r="E144" i="1" s="1"/>
  <c r="U137" i="1"/>
  <c r="U143" i="1"/>
  <c r="U144" i="1" s="1"/>
  <c r="AC137" i="1"/>
  <c r="AC143" i="1"/>
  <c r="AC144" i="1" s="1"/>
  <c r="AK137" i="1"/>
  <c r="AK143" i="1"/>
  <c r="AK144" i="1" s="1"/>
  <c r="BA137" i="1"/>
  <c r="BA143" i="1"/>
  <c r="BA144" i="1" s="1"/>
  <c r="J230" i="1" a="1"/>
  <c r="J230" i="1" s="1"/>
  <c r="J124" i="1"/>
  <c r="J125" i="1" s="1"/>
  <c r="R124" i="1"/>
  <c r="R125" i="1" s="1"/>
  <c r="R137" i="1"/>
  <c r="Z230" i="1" a="1"/>
  <c r="Z230" i="1" s="1"/>
  <c r="Z124" i="1"/>
  <c r="Z125" i="1" s="1"/>
  <c r="AH124" i="1"/>
  <c r="AH137" i="1"/>
  <c r="AP124" i="1"/>
  <c r="AP125" i="1" s="1"/>
  <c r="AX124" i="1"/>
  <c r="AX137" i="1"/>
  <c r="G125" i="1"/>
  <c r="AM125" i="1"/>
  <c r="AS272" i="1"/>
  <c r="BA272" i="1"/>
  <c r="R105" i="1"/>
  <c r="AH105" i="1"/>
  <c r="AX105" i="1"/>
  <c r="Z111" i="1"/>
  <c r="Z168" i="1"/>
  <c r="AO123" i="1"/>
  <c r="AO201" i="1"/>
  <c r="AO202" i="1" s="1"/>
  <c r="AY105" i="1"/>
  <c r="V111" i="1"/>
  <c r="AO111" i="1"/>
  <c r="AW111" i="1"/>
  <c r="AR168" i="1"/>
  <c r="P271" i="1"/>
  <c r="AF271" i="1"/>
  <c r="AN271" i="1"/>
  <c r="U273" i="1"/>
  <c r="AC273" i="1"/>
  <c r="R144" i="1"/>
  <c r="E153" i="1"/>
  <c r="M153" i="1"/>
  <c r="M161" i="1" s="1"/>
  <c r="M162" i="1" s="1" a="1"/>
  <c r="M162" i="1" s="1"/>
  <c r="U153" i="1"/>
  <c r="AC153" i="1"/>
  <c r="AK153" i="1"/>
  <c r="AK161" i="1" s="1"/>
  <c r="AK162" i="1" s="1" a="1"/>
  <c r="AK162" i="1" s="1"/>
  <c r="AS153" i="1"/>
  <c r="AS161" i="1" s="1"/>
  <c r="AS162" i="1" s="1" a="1"/>
  <c r="AS162" i="1" s="1"/>
  <c r="BA153" i="1"/>
  <c r="D266" i="1"/>
  <c r="J179" i="1"/>
  <c r="J182" i="1"/>
  <c r="R179" i="1"/>
  <c r="R196" i="1"/>
  <c r="R197" i="1" s="1"/>
  <c r="R201" i="1" s="1"/>
  <c r="R202" i="1" s="1"/>
  <c r="Z179" i="1"/>
  <c r="Z182" i="1"/>
  <c r="Z196" i="1"/>
  <c r="AH179" i="1"/>
  <c r="AH196" i="1"/>
  <c r="AP179" i="1"/>
  <c r="AP182" i="1"/>
  <c r="AX179" i="1"/>
  <c r="AX196" i="1"/>
  <c r="AX182" i="1"/>
  <c r="AH182" i="1"/>
  <c r="I201" i="1"/>
  <c r="I202" i="1" s="1"/>
  <c r="E205" i="1"/>
  <c r="E206" i="1" s="1"/>
  <c r="M205" i="1"/>
  <c r="U205" i="1"/>
  <c r="U206" i="1" s="1"/>
  <c r="AC205" i="1"/>
  <c r="AC206" i="1" s="1"/>
  <c r="AK205" i="1"/>
  <c r="AK206" i="1" s="1"/>
  <c r="AS205" i="1"/>
  <c r="BA205" i="1"/>
  <c r="BA206" i="1" s="1"/>
  <c r="AH125" i="1"/>
  <c r="AX125" i="1"/>
  <c r="P253" i="1"/>
  <c r="X111" i="1"/>
  <c r="AF253" i="1"/>
  <c r="AN253" i="1"/>
  <c r="AN111" i="1"/>
  <c r="AV111" i="1"/>
  <c r="K138" i="1"/>
  <c r="S138" i="1"/>
  <c r="S111" i="1"/>
  <c r="AA138" i="1"/>
  <c r="AA111" i="1"/>
  <c r="AI138" i="1"/>
  <c r="AI111" i="1"/>
  <c r="AQ138" i="1"/>
  <c r="AQ111" i="1"/>
  <c r="AY138" i="1"/>
  <c r="AY111" i="1"/>
  <c r="P111" i="1"/>
  <c r="I139" i="1"/>
  <c r="Y139" i="1"/>
  <c r="AG270" i="1"/>
  <c r="AO270" i="1"/>
  <c r="AO139" i="1"/>
  <c r="AW270" i="1"/>
  <c r="F165" i="1"/>
  <c r="F168" i="1" s="1"/>
  <c r="F123" i="1"/>
  <c r="V165" i="1"/>
  <c r="V168" i="1" s="1"/>
  <c r="V123" i="1"/>
  <c r="AD168" i="1"/>
  <c r="AL165" i="1"/>
  <c r="AL168" i="1" s="1"/>
  <c r="AL123" i="1"/>
  <c r="AT168" i="1"/>
  <c r="BB165" i="1"/>
  <c r="BB168" i="1" s="1"/>
  <c r="BB123" i="1"/>
  <c r="Q167" i="1"/>
  <c r="Q168" i="1" s="1"/>
  <c r="Q123" i="1"/>
  <c r="AG167" i="1"/>
  <c r="AG168" i="1" s="1"/>
  <c r="AG123" i="1"/>
  <c r="AW167" i="1"/>
  <c r="AW123" i="1"/>
  <c r="N123" i="1"/>
  <c r="AT123" i="1"/>
  <c r="X143" i="1"/>
  <c r="D151" i="1"/>
  <c r="T151" i="1"/>
  <c r="T161" i="1" s="1"/>
  <c r="T162" i="1" s="1" a="1"/>
  <c r="T162" i="1" s="1"/>
  <c r="AJ151" i="1"/>
  <c r="AZ151" i="1"/>
  <c r="AZ161" i="1" s="1"/>
  <c r="AC161" i="1"/>
  <c r="L168" i="1"/>
  <c r="L182" i="1"/>
  <c r="L179" i="1"/>
  <c r="T196" i="1"/>
  <c r="T197" i="1" s="1"/>
  <c r="T201" i="1" s="1"/>
  <c r="T202" i="1" s="1"/>
  <c r="T179" i="1"/>
  <c r="T182" i="1"/>
  <c r="AB182" i="1"/>
  <c r="AB179" i="1"/>
  <c r="AB196" i="1"/>
  <c r="AR182" i="1"/>
  <c r="AR179" i="1"/>
  <c r="AZ196" i="1"/>
  <c r="AZ182" i="1"/>
  <c r="AZ179" i="1"/>
  <c r="J177" i="1"/>
  <c r="R177" i="1"/>
  <c r="Z177" i="1"/>
  <c r="AH177" i="1"/>
  <c r="AP177" i="1"/>
  <c r="AX177" i="1"/>
  <c r="AJ182" i="1"/>
  <c r="S206" i="1"/>
  <c r="AA206" i="1"/>
  <c r="AI206" i="1"/>
  <c r="AQ206" i="1"/>
  <c r="AY206" i="1"/>
  <c r="AT83" i="1"/>
  <c r="BB83" i="1"/>
  <c r="AA125" i="1"/>
  <c r="I109" i="1"/>
  <c r="Q109" i="1"/>
  <c r="Y109" i="1"/>
  <c r="AG109" i="1"/>
  <c r="AO109" i="1"/>
  <c r="AW253" i="1"/>
  <c r="AW109" i="1"/>
  <c r="L231" i="1"/>
  <c r="L138" i="1"/>
  <c r="L111" i="1"/>
  <c r="T231" i="1"/>
  <c r="AB231" i="1"/>
  <c r="AB138" i="1"/>
  <c r="AJ231" i="1"/>
  <c r="AR138" i="1"/>
  <c r="AZ231" i="1"/>
  <c r="AZ111" i="1"/>
  <c r="Q111" i="1"/>
  <c r="AJ111" i="1"/>
  <c r="J270" i="1"/>
  <c r="J139" i="1"/>
  <c r="Z139" i="1"/>
  <c r="AP139" i="1"/>
  <c r="G165" i="1"/>
  <c r="G168" i="1" s="1"/>
  <c r="G123" i="1"/>
  <c r="O168" i="1"/>
  <c r="W165" i="1"/>
  <c r="W168" i="1" s="1"/>
  <c r="W123" i="1"/>
  <c r="AM165" i="1"/>
  <c r="AM123" i="1"/>
  <c r="AU168" i="1"/>
  <c r="J167" i="1"/>
  <c r="J168" i="1" s="1"/>
  <c r="J123" i="1"/>
  <c r="R167" i="1"/>
  <c r="R123" i="1"/>
  <c r="Z167" i="1"/>
  <c r="Z123" i="1"/>
  <c r="AH167" i="1"/>
  <c r="AH123" i="1"/>
  <c r="AP167" i="1"/>
  <c r="AP168" i="1" s="1"/>
  <c r="AP123" i="1"/>
  <c r="AX167" i="1"/>
  <c r="AX168" i="1" s="1"/>
  <c r="AX123" i="1"/>
  <c r="O123" i="1"/>
  <c r="AU123" i="1"/>
  <c r="E161" i="1"/>
  <c r="U161" i="1"/>
  <c r="BA161" i="1"/>
  <c r="F161" i="1"/>
  <c r="F162" i="1" s="1" a="1"/>
  <c r="F162" i="1" s="1"/>
  <c r="K274" i="1"/>
  <c r="S274" i="1"/>
  <c r="AA274" i="1"/>
  <c r="AI274" i="1"/>
  <c r="AY274" i="1"/>
  <c r="Q162" i="1" a="1"/>
  <c r="Q162" i="1" s="1"/>
  <c r="Y162" i="1" a="1"/>
  <c r="Y162" i="1" s="1"/>
  <c r="J197" i="1"/>
  <c r="Z197" i="1"/>
  <c r="Z201" i="1" s="1"/>
  <c r="Z202" i="1" s="1"/>
  <c r="AH197" i="1"/>
  <c r="AH201" i="1" s="1"/>
  <c r="AH202" i="1" s="1"/>
  <c r="AP197" i="1"/>
  <c r="AP201" i="1" s="1"/>
  <c r="AP202" i="1" s="1"/>
  <c r="D206" i="1"/>
  <c r="L206" i="1"/>
  <c r="AJ206" i="1"/>
  <c r="AR206" i="1"/>
  <c r="J137" i="1"/>
  <c r="Z137" i="1"/>
  <c r="AP137" i="1"/>
  <c r="AB125" i="1"/>
  <c r="AR125" i="1"/>
  <c r="L252" i="1"/>
  <c r="T252" i="1"/>
  <c r="AB252" i="1"/>
  <c r="AJ252" i="1"/>
  <c r="AZ107" i="1"/>
  <c r="J253" i="1"/>
  <c r="J109" i="1"/>
  <c r="R109" i="1"/>
  <c r="Z109" i="1"/>
  <c r="AH109" i="1"/>
  <c r="AP109" i="1"/>
  <c r="AX109" i="1"/>
  <c r="E231" i="1"/>
  <c r="E111" i="1"/>
  <c r="M138" i="1"/>
  <c r="M111" i="1"/>
  <c r="U111" i="1"/>
  <c r="AC138" i="1"/>
  <c r="AS231" i="1"/>
  <c r="AS138" i="1"/>
  <c r="BA231" i="1"/>
  <c r="AK111" i="1"/>
  <c r="K139" i="1"/>
  <c r="AA139" i="1"/>
  <c r="AQ139" i="1"/>
  <c r="H168" i="1"/>
  <c r="AF168" i="1"/>
  <c r="AV168" i="1"/>
  <c r="K167" i="1"/>
  <c r="K123" i="1"/>
  <c r="S167" i="1"/>
  <c r="S168" i="1" s="1"/>
  <c r="S123" i="1"/>
  <c r="AA167" i="1"/>
  <c r="AA168" i="1" s="1"/>
  <c r="AA123" i="1"/>
  <c r="AI167" i="1"/>
  <c r="AI123" i="1"/>
  <c r="AQ167" i="1"/>
  <c r="AQ168" i="1" s="1"/>
  <c r="AQ123" i="1"/>
  <c r="AY167" i="1"/>
  <c r="AY168" i="1" s="1"/>
  <c r="AY123" i="1"/>
  <c r="X123" i="1"/>
  <c r="Q153" i="1"/>
  <c r="AG153" i="1"/>
  <c r="AW153" i="1"/>
  <c r="AT161" i="1"/>
  <c r="AT162" i="1" s="1" a="1"/>
  <c r="AT162" i="1" s="1"/>
  <c r="S161" i="1"/>
  <c r="S162" i="1" s="1" a="1"/>
  <c r="S162" i="1" s="1"/>
  <c r="J162" i="1" a="1"/>
  <c r="J162" i="1" s="1"/>
  <c r="M206" i="1"/>
  <c r="AS206" i="1"/>
  <c r="E230" i="1"/>
  <c r="M230" i="1" a="1"/>
  <c r="M230" i="1" s="1"/>
  <c r="AS230" i="1" a="1"/>
  <c r="AS230" i="1" s="1"/>
  <c r="P272" i="1"/>
  <c r="AF272" i="1"/>
  <c r="AN272" i="1"/>
  <c r="AS251" i="1"/>
  <c r="BA251" i="1"/>
  <c r="P252" i="1"/>
  <c r="X252" i="1"/>
  <c r="AF252" i="1"/>
  <c r="AN252" i="1"/>
  <c r="AV252" i="1"/>
  <c r="AY253" i="1"/>
  <c r="F231" i="1"/>
  <c r="N231" i="1"/>
  <c r="V231" i="1"/>
  <c r="AD111" i="1"/>
  <c r="AM111" i="1"/>
  <c r="E139" i="1"/>
  <c r="M139" i="1"/>
  <c r="U139" i="1"/>
  <c r="AC139" i="1"/>
  <c r="AK139" i="1"/>
  <c r="AS270" i="1"/>
  <c r="AS139" i="1"/>
  <c r="BA270" i="1"/>
  <c r="BA139" i="1"/>
  <c r="R168" i="1"/>
  <c r="AH168" i="1"/>
  <c r="E167" i="1"/>
  <c r="E123" i="1"/>
  <c r="M123" i="1"/>
  <c r="M167" i="1"/>
  <c r="M168" i="1" s="1"/>
  <c r="U123" i="1"/>
  <c r="AC123" i="1"/>
  <c r="AK123" i="1"/>
  <c r="AS123" i="1"/>
  <c r="BA123" i="1"/>
  <c r="P123" i="1"/>
  <c r="AF123" i="1"/>
  <c r="F153" i="1"/>
  <c r="N153" i="1"/>
  <c r="N161" i="1" s="1"/>
  <c r="N162" i="1" s="1" a="1"/>
  <c r="N162" i="1" s="1"/>
  <c r="V153" i="1"/>
  <c r="V161" i="1" s="1"/>
  <c r="V162" i="1" s="1" a="1"/>
  <c r="V162" i="1" s="1"/>
  <c r="AD153" i="1"/>
  <c r="AD161" i="1" s="1"/>
  <c r="AD162" i="1" s="1" a="1"/>
  <c r="AD162" i="1" s="1"/>
  <c r="AL153" i="1"/>
  <c r="AL161" i="1" s="1"/>
  <c r="AL162" i="1" s="1" a="1"/>
  <c r="AL162" i="1" s="1"/>
  <c r="AT153" i="1"/>
  <c r="BB153" i="1"/>
  <c r="BB161" i="1" s="1"/>
  <c r="BB162" i="1" s="1" a="1"/>
  <c r="BB162" i="1" s="1"/>
  <c r="AR274" i="1"/>
  <c r="Q197" i="1"/>
  <c r="Q201" i="1" s="1"/>
  <c r="Q202" i="1" s="1"/>
  <c r="AG197" i="1"/>
  <c r="AG201" i="1" s="1"/>
  <c r="AG202" i="1" s="1"/>
  <c r="AW197" i="1"/>
  <c r="AW201" i="1" s="1"/>
  <c r="AW202" i="1" s="1"/>
  <c r="AD206" i="1"/>
  <c r="AT206" i="1"/>
  <c r="I143" i="1"/>
  <c r="I144" i="1" s="1"/>
  <c r="Q143" i="1"/>
  <c r="Q144" i="1" s="1"/>
  <c r="Y143" i="1"/>
  <c r="Y144" i="1" s="1"/>
  <c r="AG143" i="1"/>
  <c r="AG144" i="1" s="1"/>
  <c r="AO143" i="1"/>
  <c r="AW143" i="1"/>
  <c r="N230" i="1" a="1"/>
  <c r="N230" i="1" s="1"/>
  <c r="AL230" i="1" a="1"/>
  <c r="AL230" i="1" s="1"/>
  <c r="BB230" i="1" a="1"/>
  <c r="BB230" i="1" s="1"/>
  <c r="AW272" i="1"/>
  <c r="F251" i="1"/>
  <c r="N251" i="1"/>
  <c r="V251" i="1"/>
  <c r="AO252" i="1"/>
  <c r="AW252" i="1"/>
  <c r="T253" i="1"/>
  <c r="AB253" i="1"/>
  <c r="AJ253" i="1"/>
  <c r="G231" i="1"/>
  <c r="O231" i="1"/>
  <c r="W231" i="1"/>
  <c r="AM231" i="1"/>
  <c r="AE111" i="1"/>
  <c r="F270" i="1"/>
  <c r="F139" i="1"/>
  <c r="N270" i="1"/>
  <c r="N139" i="1"/>
  <c r="V270" i="1"/>
  <c r="V139" i="1"/>
  <c r="AD139" i="1"/>
  <c r="AL139" i="1"/>
  <c r="AT139" i="1"/>
  <c r="BB139" i="1"/>
  <c r="AI168" i="1"/>
  <c r="F144" i="1"/>
  <c r="N144" i="1"/>
  <c r="V144" i="1"/>
  <c r="AD144" i="1"/>
  <c r="AL144" i="1"/>
  <c r="AT144" i="1"/>
  <c r="P143" i="1"/>
  <c r="AF143" i="1"/>
  <c r="AV143" i="1"/>
  <c r="G153" i="1"/>
  <c r="G151" i="1"/>
  <c r="G161" i="1" s="1"/>
  <c r="G162" i="1" s="1" a="1"/>
  <c r="G162" i="1" s="1"/>
  <c r="O153" i="1"/>
  <c r="O151" i="1"/>
  <c r="O161" i="1" s="1"/>
  <c r="O162" i="1" s="1" a="1"/>
  <c r="O162" i="1" s="1"/>
  <c r="W153" i="1"/>
  <c r="W151" i="1"/>
  <c r="AE153" i="1"/>
  <c r="AE151" i="1"/>
  <c r="AM153" i="1"/>
  <c r="AM151" i="1"/>
  <c r="AM161" i="1" s="1"/>
  <c r="AM162" i="1" s="1" a="1"/>
  <c r="AM162" i="1" s="1"/>
  <c r="AU153" i="1"/>
  <c r="AU151" i="1"/>
  <c r="AU161" i="1" s="1"/>
  <c r="AU162" i="1" s="1" a="1"/>
  <c r="AU162" i="1" s="1"/>
  <c r="E274" i="1"/>
  <c r="U274" i="1"/>
  <c r="AC274" i="1"/>
  <c r="AK274" i="1"/>
  <c r="K162" i="1" a="1"/>
  <c r="K162" i="1" s="1"/>
  <c r="O206" i="1"/>
  <c r="AE206" i="1"/>
  <c r="AU206" i="1"/>
  <c r="J143" i="1"/>
  <c r="J144" i="1" s="1"/>
  <c r="R143" i="1"/>
  <c r="Z143" i="1"/>
  <c r="Z144" i="1" s="1"/>
  <c r="AH143" i="1"/>
  <c r="AH144" i="1" s="1"/>
  <c r="AP143" i="1"/>
  <c r="AP144" i="1" s="1"/>
  <c r="AX143" i="1"/>
  <c r="AX144" i="1" s="1"/>
  <c r="O230" i="1" a="1"/>
  <c r="O230" i="1" s="1"/>
  <c r="AM230" i="1" a="1"/>
  <c r="AM230" i="1" s="1"/>
  <c r="AU230" i="1" a="1"/>
  <c r="AU230" i="1" s="1"/>
  <c r="J272" i="1"/>
  <c r="O251" i="1"/>
  <c r="W251" i="1"/>
  <c r="AM251" i="1"/>
  <c r="AU251" i="1"/>
  <c r="E105" i="1"/>
  <c r="M105" i="1"/>
  <c r="U105" i="1"/>
  <c r="AC105" i="1"/>
  <c r="AK105" i="1"/>
  <c r="AS105" i="1"/>
  <c r="BA105" i="1"/>
  <c r="J252" i="1"/>
  <c r="Z252" i="1"/>
  <c r="H107" i="1"/>
  <c r="P107" i="1"/>
  <c r="X107" i="1"/>
  <c r="AF107" i="1"/>
  <c r="AN107" i="1"/>
  <c r="AV107" i="1"/>
  <c r="M253" i="1"/>
  <c r="AK253" i="1"/>
  <c r="AS253" i="1"/>
  <c r="BA253" i="1"/>
  <c r="K109" i="1"/>
  <c r="S109" i="1"/>
  <c r="AA109" i="1"/>
  <c r="AI109" i="1"/>
  <c r="AQ109" i="1"/>
  <c r="AY109" i="1"/>
  <c r="H138" i="1"/>
  <c r="P231" i="1"/>
  <c r="P138" i="1"/>
  <c r="X138" i="1"/>
  <c r="AF231" i="1"/>
  <c r="AF138" i="1"/>
  <c r="AN231" i="1"/>
  <c r="AN138" i="1"/>
  <c r="AV231" i="1"/>
  <c r="AV138" i="1"/>
  <c r="F111" i="1"/>
  <c r="N111" i="1"/>
  <c r="W111" i="1"/>
  <c r="AF111" i="1"/>
  <c r="T168" i="1"/>
  <c r="H153" i="1"/>
  <c r="H151" i="1"/>
  <c r="P153" i="1"/>
  <c r="P151" i="1"/>
  <c r="X153" i="1"/>
  <c r="X151" i="1"/>
  <c r="X161" i="1" s="1"/>
  <c r="AF153" i="1"/>
  <c r="AF151" i="1"/>
  <c r="AN153" i="1"/>
  <c r="AN151" i="1"/>
  <c r="AV153" i="1"/>
  <c r="AV151" i="1"/>
  <c r="F274" i="1"/>
  <c r="N274" i="1"/>
  <c r="V274" i="1"/>
  <c r="AD274" i="1"/>
  <c r="AL274" i="1"/>
  <c r="L162" i="1" a="1"/>
  <c r="L162" i="1" s="1"/>
  <c r="AB162" i="1" a="1"/>
  <c r="AB162" i="1" s="1"/>
  <c r="AZ162" i="1" a="1"/>
  <c r="AZ162" i="1" s="1"/>
  <c r="P206" i="1"/>
  <c r="AF206" i="1"/>
  <c r="AQ143" i="1"/>
  <c r="AQ137" i="1"/>
  <c r="AY143" i="1"/>
  <c r="AY144" i="1" s="1"/>
  <c r="AY137" i="1"/>
  <c r="H230" i="1" a="1"/>
  <c r="H230" i="1" s="1"/>
  <c r="H124" i="1"/>
  <c r="H125" i="1" s="1"/>
  <c r="P230" i="1" a="1"/>
  <c r="P230" i="1" s="1"/>
  <c r="P124" i="1"/>
  <c r="P125" i="1" s="1"/>
  <c r="X124" i="1"/>
  <c r="X125" i="1" s="1"/>
  <c r="AF124" i="1"/>
  <c r="AF125" i="1" s="1"/>
  <c r="AN124" i="1"/>
  <c r="AN125" i="1" s="1"/>
  <c r="AV230" i="1" a="1"/>
  <c r="AV230" i="1" s="1"/>
  <c r="AV124" i="1"/>
  <c r="E125" i="1"/>
  <c r="M125" i="1"/>
  <c r="U125" i="1"/>
  <c r="AC125" i="1"/>
  <c r="AS125" i="1"/>
  <c r="P251" i="1"/>
  <c r="AF251" i="1"/>
  <c r="AN251" i="1"/>
  <c r="AV251" i="1"/>
  <c r="AI252" i="1"/>
  <c r="F253" i="1"/>
  <c r="N253" i="1"/>
  <c r="V253" i="1"/>
  <c r="I138" i="1"/>
  <c r="Q138" i="1"/>
  <c r="Y138" i="1"/>
  <c r="AG231" i="1"/>
  <c r="AG138" i="1"/>
  <c r="AO138" i="1"/>
  <c r="AW231" i="1"/>
  <c r="AW138" i="1"/>
  <c r="AG111" i="1"/>
  <c r="H139" i="1"/>
  <c r="P270" i="1"/>
  <c r="P139" i="1"/>
  <c r="X139" i="1"/>
  <c r="AF270" i="1"/>
  <c r="AF139" i="1"/>
  <c r="AN270" i="1"/>
  <c r="AN139" i="1"/>
  <c r="AV270" i="1"/>
  <c r="AV139" i="1"/>
  <c r="E168" i="1"/>
  <c r="U168" i="1"/>
  <c r="E124" i="1"/>
  <c r="U124" i="1"/>
  <c r="AK124" i="1"/>
  <c r="AK125" i="1" s="1"/>
  <c r="BA124" i="1"/>
  <c r="BA125" i="1" s="1"/>
  <c r="Q137" i="1"/>
  <c r="AG137" i="1"/>
  <c r="AW137" i="1"/>
  <c r="N138" i="1"/>
  <c r="AD138" i="1"/>
  <c r="AT138" i="1"/>
  <c r="F271" i="1"/>
  <c r="N271" i="1"/>
  <c r="V271" i="1"/>
  <c r="S273" i="1"/>
  <c r="AA273" i="1"/>
  <c r="AI273" i="1"/>
  <c r="AY273" i="1"/>
  <c r="H144" i="1"/>
  <c r="P144" i="1"/>
  <c r="X144" i="1"/>
  <c r="AF144" i="1"/>
  <c r="AN144" i="1"/>
  <c r="AV144" i="1"/>
  <c r="I151" i="1"/>
  <c r="I161" i="1" s="1"/>
  <c r="I162" i="1" s="1" a="1"/>
  <c r="I162" i="1" s="1"/>
  <c r="Q151" i="1"/>
  <c r="Q161" i="1" s="1"/>
  <c r="Y151" i="1"/>
  <c r="Y161" i="1" s="1"/>
  <c r="AG151" i="1"/>
  <c r="AG161" i="1" s="1"/>
  <c r="AG162" i="1" s="1" a="1"/>
  <c r="AG162" i="1" s="1"/>
  <c r="AO151" i="1"/>
  <c r="AO161" i="1" s="1"/>
  <c r="AO162" i="1" s="1" a="1"/>
  <c r="AO162" i="1" s="1"/>
  <c r="AW151" i="1"/>
  <c r="AW161" i="1" s="1"/>
  <c r="AW162" i="1" s="1" a="1"/>
  <c r="AW162" i="1" s="1"/>
  <c r="AZ168" i="1"/>
  <c r="I179" i="1"/>
  <c r="Q179" i="1"/>
  <c r="Y179" i="1"/>
  <c r="AG179" i="1"/>
  <c r="AO179" i="1"/>
  <c r="AW179" i="1"/>
  <c r="U179" i="1"/>
  <c r="I206" i="1"/>
  <c r="Y206" i="1"/>
  <c r="AG206" i="1"/>
  <c r="AO206" i="1"/>
  <c r="O254" i="1"/>
  <c r="W254" i="1"/>
  <c r="J271" i="1"/>
  <c r="AX271" i="1"/>
  <c r="G273" i="1"/>
  <c r="O273" i="1"/>
  <c r="W273" i="1"/>
  <c r="G274" i="1"/>
  <c r="O274" i="1"/>
  <c r="W274" i="1"/>
  <c r="AM274" i="1"/>
  <c r="E162" i="1" a="1"/>
  <c r="E162" i="1" s="1"/>
  <c r="U162" i="1" a="1"/>
  <c r="U162" i="1" s="1"/>
  <c r="AC162" i="1" a="1"/>
  <c r="AC162" i="1" s="1"/>
  <c r="BA162" i="1" a="1"/>
  <c r="BA162" i="1" s="1"/>
  <c r="AZ167" i="1"/>
  <c r="E196" i="1"/>
  <c r="E182" i="1"/>
  <c r="F173" i="1" s="1"/>
  <c r="M196" i="1"/>
  <c r="M197" i="1" s="1"/>
  <c r="M201" i="1" s="1"/>
  <c r="M202" i="1" s="1"/>
  <c r="M182" i="1"/>
  <c r="U196" i="1"/>
  <c r="U182" i="1"/>
  <c r="AC196" i="1"/>
  <c r="AC182" i="1"/>
  <c r="AK196" i="1"/>
  <c r="AK182" i="1"/>
  <c r="AS196" i="1"/>
  <c r="AS197" i="1" s="1"/>
  <c r="AS201" i="1" s="1"/>
  <c r="AS202" i="1" s="1"/>
  <c r="AS182" i="1"/>
  <c r="BA196" i="1"/>
  <c r="BA182" i="1"/>
  <c r="K177" i="1"/>
  <c r="S177" i="1"/>
  <c r="AA177" i="1"/>
  <c r="AI177" i="1"/>
  <c r="AQ177" i="1"/>
  <c r="AY177" i="1"/>
  <c r="M177" i="1"/>
  <c r="AC177" i="1"/>
  <c r="AS177" i="1"/>
  <c r="K197" i="1"/>
  <c r="K201" i="1" s="1"/>
  <c r="K202" i="1" s="1"/>
  <c r="S197" i="1"/>
  <c r="S201" i="1" s="1"/>
  <c r="S202" i="1" s="1"/>
  <c r="AA197" i="1"/>
  <c r="AA201" i="1" s="1"/>
  <c r="AA202" i="1" s="1"/>
  <c r="AQ197" i="1"/>
  <c r="AQ201" i="1" s="1"/>
  <c r="AQ202" i="1" s="1"/>
  <c r="AY197" i="1"/>
  <c r="F205" i="1"/>
  <c r="F206" i="1" s="1"/>
  <c r="N205" i="1"/>
  <c r="N206" i="1" s="1"/>
  <c r="V205" i="1"/>
  <c r="V206" i="1" s="1"/>
  <c r="AD205" i="1"/>
  <c r="AL205" i="1"/>
  <c r="AL206" i="1" s="1"/>
  <c r="AT205" i="1"/>
  <c r="BB205" i="1"/>
  <c r="BB206" i="1" s="1"/>
  <c r="H273" i="1"/>
  <c r="P273" i="1"/>
  <c r="X273" i="1"/>
  <c r="AF273" i="1"/>
  <c r="AN273" i="1"/>
  <c r="AV273" i="1"/>
  <c r="X274" i="1"/>
  <c r="AF274" i="1"/>
  <c r="AN274" i="1"/>
  <c r="AV274" i="1"/>
  <c r="N167" i="1"/>
  <c r="N168" i="1" s="1"/>
  <c r="AM167" i="1"/>
  <c r="BA167" i="1"/>
  <c r="BA168" i="1" s="1"/>
  <c r="N196" i="1"/>
  <c r="N197" i="1" s="1"/>
  <c r="N201" i="1" s="1"/>
  <c r="N202" i="1" s="1"/>
  <c r="V196" i="1"/>
  <c r="V197" i="1" s="1"/>
  <c r="V201" i="1" s="1"/>
  <c r="V202" i="1" s="1"/>
  <c r="AD196" i="1"/>
  <c r="AD197" i="1" s="1"/>
  <c r="AD201" i="1" s="1"/>
  <c r="AD202" i="1" s="1"/>
  <c r="AL196" i="1"/>
  <c r="AL197" i="1" s="1"/>
  <c r="AL201" i="1" s="1"/>
  <c r="AL202" i="1" s="1"/>
  <c r="AT196" i="1"/>
  <c r="AT197" i="1" s="1"/>
  <c r="AT201" i="1" s="1"/>
  <c r="AT202" i="1" s="1"/>
  <c r="BB196" i="1"/>
  <c r="BB197" i="1" s="1"/>
  <c r="BB201" i="1" s="1"/>
  <c r="BB202" i="1" s="1"/>
  <c r="L177" i="1"/>
  <c r="T177" i="1"/>
  <c r="AB177" i="1"/>
  <c r="AJ177" i="1"/>
  <c r="D177" i="1" s="1"/>
  <c r="AR177" i="1"/>
  <c r="AZ177" i="1"/>
  <c r="L197" i="1"/>
  <c r="L201" i="1" s="1"/>
  <c r="L202" i="1" s="1"/>
  <c r="AB197" i="1"/>
  <c r="AB201" i="1" s="1"/>
  <c r="AB202" i="1" s="1"/>
  <c r="AJ197" i="1"/>
  <c r="AJ201" i="1" s="1"/>
  <c r="AJ202" i="1" s="1"/>
  <c r="AR197" i="1"/>
  <c r="AR201" i="1" s="1"/>
  <c r="AR202" i="1" s="1"/>
  <c r="AZ197" i="1"/>
  <c r="AZ201" i="1" s="1"/>
  <c r="AZ202" i="1" s="1"/>
  <c r="D250" i="1"/>
  <c r="F169" i="1"/>
  <c r="G205" i="1"/>
  <c r="G206" i="1" s="1"/>
  <c r="AR123" i="1"/>
  <c r="L271" i="1"/>
  <c r="T271" i="1"/>
  <c r="AB271" i="1"/>
  <c r="AJ271" i="1"/>
  <c r="Y273" i="1"/>
  <c r="AG273" i="1"/>
  <c r="AO273" i="1"/>
  <c r="AW273" i="1"/>
  <c r="AG274" i="1"/>
  <c r="AO274" i="1"/>
  <c r="AW274" i="1"/>
  <c r="O167" i="1"/>
  <c r="AC167" i="1"/>
  <c r="AC168" i="1" s="1"/>
  <c r="G196" i="1"/>
  <c r="G197" i="1" s="1"/>
  <c r="G201" i="1" s="1"/>
  <c r="G202" i="1" s="1"/>
  <c r="O196" i="1"/>
  <c r="O197" i="1" s="1"/>
  <c r="O201" i="1" s="1"/>
  <c r="O202" i="1" s="1"/>
  <c r="W196" i="1"/>
  <c r="W197" i="1" s="1"/>
  <c r="W201" i="1" s="1"/>
  <c r="W202" i="1" s="1"/>
  <c r="AE196" i="1"/>
  <c r="AE197" i="1" s="1"/>
  <c r="AE201" i="1" s="1"/>
  <c r="AE202" i="1" s="1"/>
  <c r="AM196" i="1"/>
  <c r="AM197" i="1" s="1"/>
  <c r="AM201" i="1" s="1"/>
  <c r="AM202" i="1" s="1"/>
  <c r="AU196" i="1"/>
  <c r="AU197" i="1" s="1"/>
  <c r="AU201" i="1" s="1"/>
  <c r="AU202" i="1" s="1"/>
  <c r="M179" i="1"/>
  <c r="AC179" i="1"/>
  <c r="AS179" i="1"/>
  <c r="E197" i="1"/>
  <c r="U197" i="1"/>
  <c r="AC197" i="1"/>
  <c r="AC201" i="1" s="1"/>
  <c r="AC202" i="1" s="1"/>
  <c r="AK197" i="1"/>
  <c r="AK201" i="1" s="1"/>
  <c r="AK202" i="1" s="1"/>
  <c r="BA197" i="1"/>
  <c r="BA201" i="1" s="1"/>
  <c r="BA202" i="1" s="1"/>
  <c r="AX197" i="1"/>
  <c r="AX201" i="1" s="1"/>
  <c r="AX202" i="1" s="1"/>
  <c r="O270" i="1"/>
  <c r="W270" i="1"/>
  <c r="AM270" i="1"/>
  <c r="AS271" i="1"/>
  <c r="BA271" i="1"/>
  <c r="J273" i="1"/>
  <c r="Z273" i="1"/>
  <c r="J274" i="1"/>
  <c r="X162" i="1" a="1"/>
  <c r="X162" i="1" s="1"/>
  <c r="AD167" i="1"/>
  <c r="H196" i="1"/>
  <c r="H197" i="1" s="1"/>
  <c r="H201" i="1" s="1"/>
  <c r="H202" i="1" s="1"/>
  <c r="P196" i="1"/>
  <c r="P197" i="1" s="1"/>
  <c r="P201" i="1" s="1"/>
  <c r="P202" i="1" s="1"/>
  <c r="X196" i="1"/>
  <c r="X197" i="1" s="1"/>
  <c r="X201" i="1" s="1"/>
  <c r="X202" i="1" s="1"/>
  <c r="AF196" i="1"/>
  <c r="AF197" i="1" s="1"/>
  <c r="AF201" i="1" s="1"/>
  <c r="AF202" i="1" s="1"/>
  <c r="AN196" i="1"/>
  <c r="AN197" i="1" s="1"/>
  <c r="AN201" i="1" s="1"/>
  <c r="AN202" i="1" s="1"/>
  <c r="AV196" i="1"/>
  <c r="AV197" i="1" s="1"/>
  <c r="AV201" i="1" s="1"/>
  <c r="AV202" i="1" s="1"/>
  <c r="D264" i="1"/>
  <c r="AO254" i="1"/>
  <c r="AW254" i="1"/>
  <c r="O255" i="1"/>
  <c r="W255" i="1"/>
  <c r="AM255" i="1"/>
  <c r="E256" i="1"/>
  <c r="E269" i="1"/>
  <c r="E232" i="1"/>
  <c r="M232" i="1"/>
  <c r="U256" i="1"/>
  <c r="U269" i="1"/>
  <c r="AS232" i="1"/>
  <c r="D265" i="1"/>
  <c r="N269" i="1"/>
  <c r="V232" i="1"/>
  <c r="AD269" i="1"/>
  <c r="AL232" i="1"/>
  <c r="H179" i="1"/>
  <c r="P179" i="1"/>
  <c r="X179" i="1"/>
  <c r="AF179" i="1"/>
  <c r="AN179" i="1"/>
  <c r="AV179" i="1"/>
  <c r="F182" i="1"/>
  <c r="N182" i="1"/>
  <c r="V182" i="1"/>
  <c r="AD182" i="1"/>
  <c r="AL182" i="1"/>
  <c r="AT182" i="1"/>
  <c r="BB182" i="1"/>
  <c r="F196" i="1"/>
  <c r="F197" i="1" s="1"/>
  <c r="F201" i="1" s="1"/>
  <c r="F202" i="1" s="1"/>
  <c r="AW255" i="1"/>
  <c r="E233" i="1"/>
  <c r="M233" i="1"/>
  <c r="U233" i="1"/>
  <c r="AC233" i="1"/>
  <c r="AK233" i="1"/>
  <c r="AS233" i="1"/>
  <c r="BA233" i="1"/>
  <c r="G182" i="1"/>
  <c r="O182" i="1"/>
  <c r="W182" i="1"/>
  <c r="AE182" i="1"/>
  <c r="AM182" i="1"/>
  <c r="AU182" i="1"/>
  <c r="T254" i="1"/>
  <c r="AB254" i="1"/>
  <c r="AJ254" i="1"/>
  <c r="AZ254" i="1"/>
  <c r="J255" i="1"/>
  <c r="H256" i="1"/>
  <c r="H232" i="1"/>
  <c r="P232" i="1"/>
  <c r="X269" i="1"/>
  <c r="X256" i="1"/>
  <c r="AF256" i="1"/>
  <c r="AF269" i="1"/>
  <c r="AN269" i="1"/>
  <c r="AN256" i="1"/>
  <c r="AV256" i="1"/>
  <c r="AV269" i="1"/>
  <c r="AV232" i="1"/>
  <c r="H182" i="1"/>
  <c r="P182" i="1"/>
  <c r="X182" i="1"/>
  <c r="AF182" i="1"/>
  <c r="AN182" i="1"/>
  <c r="AV182" i="1"/>
  <c r="D267" i="1"/>
  <c r="G233" i="1"/>
  <c r="S254" i="1"/>
  <c r="AA254" i="1"/>
  <c r="AG255" i="1"/>
  <c r="AO255" i="1"/>
  <c r="G269" i="1"/>
  <c r="G256" i="1"/>
  <c r="O269" i="1"/>
  <c r="O256" i="1"/>
  <c r="W269" i="1"/>
  <c r="AT232" i="1"/>
  <c r="AM256" i="1"/>
  <c r="O232" i="1"/>
  <c r="AE232" i="1"/>
  <c r="AM232" i="1"/>
  <c r="AU232" i="1"/>
  <c r="AS254" i="1"/>
  <c r="BA254" i="1"/>
  <c r="S255" i="1"/>
  <c r="AG269" i="1"/>
  <c r="AG256" i="1"/>
  <c r="AO269" i="1"/>
  <c r="AW269" i="1"/>
  <c r="AW256" i="1"/>
  <c r="O233" i="1"/>
  <c r="W233" i="1"/>
  <c r="AE233" i="1"/>
  <c r="AM233" i="1"/>
  <c r="AU233" i="1"/>
  <c r="N256" i="1"/>
  <c r="AO256" i="1"/>
  <c r="F254" i="1"/>
  <c r="N254" i="1"/>
  <c r="T255" i="1"/>
  <c r="J269" i="1"/>
  <c r="J256" i="1"/>
  <c r="Z269" i="1"/>
  <c r="AP269" i="1"/>
  <c r="I232" i="1"/>
  <c r="AG232" i="1"/>
  <c r="AO232" i="1"/>
  <c r="AM254" i="1"/>
  <c r="AS255" i="1"/>
  <c r="BA255" i="1"/>
  <c r="S269" i="1"/>
  <c r="S256" i="1"/>
  <c r="AA269" i="1"/>
  <c r="AA256" i="1"/>
  <c r="AI269" i="1"/>
  <c r="AI256" i="1"/>
  <c r="J232" i="1"/>
  <c r="Z232" i="1"/>
  <c r="W256" i="1"/>
  <c r="P254" i="1"/>
  <c r="AF254" i="1"/>
  <c r="AN254" i="1"/>
  <c r="AV254" i="1"/>
  <c r="F255" i="1"/>
  <c r="N255" i="1"/>
  <c r="S232" i="1"/>
  <c r="AQ232" i="1"/>
  <c r="AY232" i="1"/>
  <c r="T232" i="1"/>
  <c r="AJ232" i="1"/>
  <c r="J254" i="1"/>
  <c r="P255" i="1"/>
  <c r="AF255" i="1"/>
  <c r="AN255" i="1"/>
  <c r="AV255" i="1"/>
  <c r="F269" i="1"/>
  <c r="F256" i="1"/>
  <c r="V256" i="1"/>
  <c r="V269" i="1"/>
  <c r="AD256" i="1"/>
  <c r="AL256" i="1"/>
  <c r="AL269" i="1"/>
  <c r="AH254" i="1" l="1"/>
  <c r="AH269" i="1"/>
  <c r="AU274" i="1"/>
  <c r="AI253" i="1"/>
  <c r="Y253" i="1"/>
  <c r="AA231" i="1"/>
  <c r="AV271" i="1"/>
  <c r="AJ270" i="1"/>
  <c r="W280" i="1"/>
  <c r="AS280" i="1"/>
  <c r="AT255" i="1"/>
  <c r="AA252" i="1"/>
  <c r="AZ273" i="1"/>
  <c r="AA253" i="1"/>
  <c r="AV272" i="1"/>
  <c r="L273" i="1"/>
  <c r="AL273" i="1"/>
  <c r="U280" i="1"/>
  <c r="AT272" i="1"/>
  <c r="AB232" i="1"/>
  <c r="AH273" i="1"/>
  <c r="I231" i="1"/>
  <c r="Y272" i="1"/>
  <c r="AI270" i="1"/>
  <c r="AD273" i="1"/>
  <c r="V272" i="1"/>
  <c r="I271" i="1"/>
  <c r="L230" i="1" a="1"/>
  <c r="L230" i="1" s="1"/>
  <c r="AS256" i="1"/>
  <c r="AT231" i="1"/>
  <c r="AH270" i="1"/>
  <c r="I253" i="1"/>
  <c r="U272" i="1"/>
  <c r="AX232" i="1"/>
  <c r="AU256" i="1"/>
  <c r="AQ255" i="1"/>
  <c r="G232" i="1"/>
  <c r="AK232" i="1"/>
  <c r="AI272" i="1"/>
  <c r="AA270" i="1"/>
  <c r="AJ272" i="1"/>
  <c r="O252" i="1"/>
  <c r="AL280" i="1"/>
  <c r="AQ251" i="1"/>
  <c r="AI280" i="1"/>
  <c r="AW280" i="1"/>
  <c r="AU280" i="1"/>
  <c r="AT254" i="1"/>
  <c r="AA272" i="1"/>
  <c r="AC270" i="1"/>
  <c r="H272" i="1"/>
  <c r="AS273" i="1"/>
  <c r="AD280" i="1"/>
  <c r="S252" i="1"/>
  <c r="Z270" i="1"/>
  <c r="AL272" i="1"/>
  <c r="Z254" i="1"/>
  <c r="AZ256" i="1"/>
  <c r="AY269" i="1"/>
  <c r="AZ255" i="1"/>
  <c r="U254" i="1"/>
  <c r="AD232" i="1"/>
  <c r="AN232" i="1"/>
  <c r="AC269" i="1"/>
  <c r="I254" i="1"/>
  <c r="AH271" i="1"/>
  <c r="AT253" i="1"/>
  <c r="K252" i="1"/>
  <c r="K272" i="1"/>
  <c r="I252" i="1"/>
  <c r="I272" i="1"/>
  <c r="AL231" i="1"/>
  <c r="K253" i="1"/>
  <c r="U251" i="1"/>
  <c r="S270" i="1"/>
  <c r="S231" i="1"/>
  <c r="E273" i="1"/>
  <c r="AH251" i="1"/>
  <c r="AH230" i="1" a="1"/>
  <c r="AH230" i="1" s="1"/>
  <c r="AU271" i="1"/>
  <c r="AM280" i="1"/>
  <c r="V280" i="1"/>
  <c r="AZ251" i="1"/>
  <c r="AC280" i="1"/>
  <c r="AI251" i="1"/>
  <c r="AD272" i="1"/>
  <c r="M256" i="1"/>
  <c r="S272" i="1"/>
  <c r="AJ256" i="1"/>
  <c r="U255" i="1"/>
  <c r="AR255" i="1"/>
  <c r="I256" i="1"/>
  <c r="AC232" i="1"/>
  <c r="I273" i="1"/>
  <c r="AI271" i="1"/>
  <c r="Z271" i="1"/>
  <c r="AL253" i="1"/>
  <c r="AT270" i="1"/>
  <c r="AZ253" i="1"/>
  <c r="AT251" i="1"/>
  <c r="AZ274" i="1"/>
  <c r="U270" i="1"/>
  <c r="M251" i="1"/>
  <c r="U231" i="1"/>
  <c r="AZ252" i="1"/>
  <c r="Z251" i="1"/>
  <c r="AM271" i="1"/>
  <c r="AU252" i="1"/>
  <c r="AZ269" i="1"/>
  <c r="AE280" i="1"/>
  <c r="N280" i="1"/>
  <c r="E280" i="1"/>
  <c r="S253" i="1"/>
  <c r="M272" i="1"/>
  <c r="AR270" i="1"/>
  <c r="AJ269" i="1"/>
  <c r="L256" i="1"/>
  <c r="M255" i="1"/>
  <c r="AH256" i="1"/>
  <c r="I269" i="1"/>
  <c r="AU269" i="1"/>
  <c r="AI255" i="1"/>
  <c r="AF232" i="1"/>
  <c r="AH255" i="1"/>
  <c r="BA269" i="1"/>
  <c r="AC256" i="1"/>
  <c r="AU255" i="1"/>
  <c r="AH274" i="1"/>
  <c r="U271" i="1"/>
  <c r="AA271" i="1"/>
  <c r="AU273" i="1"/>
  <c r="AT271" i="1"/>
  <c r="BB274" i="1"/>
  <c r="AH272" i="1"/>
  <c r="AR253" i="1"/>
  <c r="AL251" i="1"/>
  <c r="K270" i="1"/>
  <c r="AH253" i="1"/>
  <c r="I270" i="1"/>
  <c r="AI231" i="1"/>
  <c r="K231" i="1"/>
  <c r="V273" i="1"/>
  <c r="N252" i="1"/>
  <c r="AA251" i="1"/>
  <c r="AZ280" i="1"/>
  <c r="U252" i="1"/>
  <c r="AY280" i="1"/>
  <c r="E252" i="1"/>
  <c r="AY256" i="1"/>
  <c r="K254" i="1"/>
  <c r="I255" i="1"/>
  <c r="M271" i="1"/>
  <c r="S271" i="1"/>
  <c r="AU254" i="1"/>
  <c r="BA274" i="1"/>
  <c r="AJ274" i="1"/>
  <c r="M270" i="1"/>
  <c r="AH231" i="1"/>
  <c r="T269" i="1"/>
  <c r="AU272" i="1"/>
  <c r="AJ280" i="1"/>
  <c r="AM269" i="1"/>
  <c r="K255" i="1"/>
  <c r="Z255" i="1"/>
  <c r="BA256" i="1"/>
  <c r="Z274" i="1"/>
  <c r="AM273" i="1"/>
  <c r="AL271" i="1"/>
  <c r="Z272" i="1"/>
  <c r="AL270" i="1"/>
  <c r="AE254" i="1"/>
  <c r="Z256" i="1"/>
  <c r="M254" i="1"/>
  <c r="AS269" i="1"/>
  <c r="AU270" i="1"/>
  <c r="I274" i="1"/>
  <c r="K271" i="1"/>
  <c r="AD271" i="1"/>
  <c r="AS274" i="1"/>
  <c r="L274" i="1"/>
  <c r="M231" i="1"/>
  <c r="BA273" i="1"/>
  <c r="L269" i="1"/>
  <c r="L280" i="1"/>
  <c r="AA280" i="1"/>
  <c r="AV280" i="1"/>
  <c r="AE256" i="1"/>
  <c r="E271" i="1"/>
  <c r="AT274" i="1"/>
  <c r="AE251" i="1"/>
  <c r="AD270" i="1"/>
  <c r="AD251" i="1"/>
  <c r="AE252" i="1"/>
  <c r="BB269" i="1"/>
  <c r="R254" i="1"/>
  <c r="AD255" i="1"/>
  <c r="AQ256" i="1"/>
  <c r="AW232" i="1"/>
  <c r="AR254" i="1"/>
  <c r="AT269" i="1"/>
  <c r="AR271" i="1"/>
  <c r="AQ273" i="1"/>
  <c r="X230" i="1" a="1"/>
  <c r="X230" i="1" s="1"/>
  <c r="AD231" i="1"/>
  <c r="R253" i="1"/>
  <c r="M273" i="1"/>
  <c r="AE271" i="1"/>
  <c r="AI230" i="1" a="1"/>
  <c r="AI230" i="1" s="1"/>
  <c r="BB256" i="1"/>
  <c r="AP232" i="1"/>
  <c r="AQ269" i="1"/>
  <c r="R256" i="1"/>
  <c r="AD254" i="1"/>
  <c r="U232" i="1"/>
  <c r="R273" i="1"/>
  <c r="M274" i="1"/>
  <c r="AE231" i="1"/>
  <c r="T274" i="1"/>
  <c r="R230" i="1" a="1"/>
  <c r="R230" i="1" s="1"/>
  <c r="R231" i="1"/>
  <c r="AR251" i="1"/>
  <c r="AZ230" i="1" a="1"/>
  <c r="AZ230" i="1" s="1"/>
  <c r="AT256" i="1"/>
  <c r="R269" i="1"/>
  <c r="AE269" i="1"/>
  <c r="AE270" i="1"/>
  <c r="R271" i="1"/>
  <c r="E251" i="1"/>
  <c r="AQ274" i="1"/>
  <c r="E272" i="1"/>
  <c r="AK280" i="1"/>
  <c r="AE273" i="1"/>
  <c r="E253" i="1"/>
  <c r="E270" i="1"/>
  <c r="BB273" i="1"/>
  <c r="BB280" i="1"/>
  <c r="T280" i="1"/>
  <c r="AQ280" i="1"/>
  <c r="E255" i="1"/>
  <c r="AK269" i="1"/>
  <c r="M269" i="1"/>
  <c r="AE255" i="1"/>
  <c r="AD253" i="1"/>
  <c r="R252" i="1"/>
  <c r="R272" i="1"/>
  <c r="R251" i="1"/>
  <c r="T273" i="1"/>
  <c r="AT273" i="1"/>
  <c r="AT280" i="1"/>
  <c r="T256" i="1"/>
  <c r="R255" i="1"/>
  <c r="AK256" i="1"/>
  <c r="R274" i="1"/>
  <c r="AE274" i="1"/>
  <c r="AR252" i="1"/>
  <c r="AR231" i="1"/>
  <c r="AK273" i="1"/>
  <c r="AE272" i="1"/>
  <c r="M280" i="1"/>
  <c r="X280" i="1"/>
  <c r="F280" i="1"/>
  <c r="BA280" i="1"/>
  <c r="AG280" i="1"/>
  <c r="AF280" i="1"/>
  <c r="AH280" i="1"/>
  <c r="Z280" i="1"/>
  <c r="BB156" i="1"/>
  <c r="BB69" i="1"/>
  <c r="BB66" i="1"/>
  <c r="BB68" i="1"/>
  <c r="BB70" i="1"/>
  <c r="BB65" i="1"/>
  <c r="BB63" i="1"/>
  <c r="BB67" i="1"/>
  <c r="BB64" i="1"/>
  <c r="AO156" i="1"/>
  <c r="AO68" i="1"/>
  <c r="AO65" i="1"/>
  <c r="AO67" i="1"/>
  <c r="AO69" i="1"/>
  <c r="AO66" i="1"/>
  <c r="AO64" i="1"/>
  <c r="AO63" i="1"/>
  <c r="AO70" i="1"/>
  <c r="H254" i="1"/>
  <c r="K156" i="1"/>
  <c r="K70" i="1"/>
  <c r="K67" i="1"/>
  <c r="D67" i="1" s="1"/>
  <c r="K65" i="1"/>
  <c r="K64" i="1"/>
  <c r="K68" i="1"/>
  <c r="K63" i="1"/>
  <c r="K66" i="1"/>
  <c r="K69" i="1"/>
  <c r="X255" i="1"/>
  <c r="H269" i="1"/>
  <c r="AG254" i="1"/>
  <c r="AX273" i="1"/>
  <c r="AK271" i="1"/>
  <c r="U201" i="1"/>
  <c r="U202" i="1" s="1"/>
  <c r="Q273" i="1"/>
  <c r="P274" i="1"/>
  <c r="AY271" i="1"/>
  <c r="K273" i="1"/>
  <c r="Y231" i="1"/>
  <c r="AY272" i="1"/>
  <c r="AE161" i="1"/>
  <c r="AE162" i="1" s="1" a="1"/>
  <c r="AE162" i="1" s="1"/>
  <c r="AG252" i="1"/>
  <c r="AB274" i="1"/>
  <c r="J201" i="1"/>
  <c r="J202" i="1" s="1"/>
  <c r="Q253" i="1"/>
  <c r="AY231" i="1"/>
  <c r="AO251" i="1"/>
  <c r="L251" i="1"/>
  <c r="AS156" i="1"/>
  <c r="AS64" i="1"/>
  <c r="AS69" i="1"/>
  <c r="AS66" i="1"/>
  <c r="AS63" i="1"/>
  <c r="AS67" i="1"/>
  <c r="AS70" i="1"/>
  <c r="AS65" i="1"/>
  <c r="AS68" i="1"/>
  <c r="Y280" i="1"/>
  <c r="Y156" i="1"/>
  <c r="Y68" i="1"/>
  <c r="Y65" i="1"/>
  <c r="Y69" i="1"/>
  <c r="Y64" i="1"/>
  <c r="Y67" i="1"/>
  <c r="Y70" i="1"/>
  <c r="Y63" i="1"/>
  <c r="Y66" i="1"/>
  <c r="G156" i="1"/>
  <c r="G66" i="1"/>
  <c r="G64" i="1"/>
  <c r="G69" i="1"/>
  <c r="D69" i="1" s="1"/>
  <c r="G67" i="1"/>
  <c r="G65" i="1"/>
  <c r="G70" i="1"/>
  <c r="D70" i="1" s="1"/>
  <c r="G68" i="1"/>
  <c r="G63" i="1"/>
  <c r="U84" i="1"/>
  <c r="R280" i="1"/>
  <c r="W232" i="1"/>
  <c r="H270" i="1"/>
  <c r="AC253" i="1"/>
  <c r="Q272" i="1"/>
  <c r="AB269" i="1"/>
  <c r="K230" i="1" a="1"/>
  <c r="K230" i="1" s="1"/>
  <c r="AR256" i="1"/>
  <c r="K269" i="1"/>
  <c r="Q232" i="1"/>
  <c r="AY254" i="1"/>
  <c r="AY255" i="1"/>
  <c r="AX255" i="1"/>
  <c r="D233" i="1"/>
  <c r="F232" i="1"/>
  <c r="Y254" i="1"/>
  <c r="AP273" i="1"/>
  <c r="AC271" i="1"/>
  <c r="Y274" i="1"/>
  <c r="H274" i="1"/>
  <c r="AQ271" i="1"/>
  <c r="BB271" i="1"/>
  <c r="AQ272" i="1"/>
  <c r="AV161" i="1"/>
  <c r="AV162" i="1" s="1" a="1"/>
  <c r="AV162" i="1" s="1"/>
  <c r="P161" i="1"/>
  <c r="P162" i="1" s="1" a="1"/>
  <c r="P162" i="1" s="1"/>
  <c r="X231" i="1"/>
  <c r="AX252" i="1"/>
  <c r="Y252" i="1"/>
  <c r="H252" i="1"/>
  <c r="AX270" i="1"/>
  <c r="Y270" i="1"/>
  <c r="X271" i="1"/>
  <c r="AY251" i="1"/>
  <c r="AP231" i="1"/>
  <c r="AC252" i="1"/>
  <c r="AX161" i="1"/>
  <c r="AX162" i="1" s="1" a="1"/>
  <c r="AX162" i="1" s="1"/>
  <c r="R161" i="1"/>
  <c r="R162" i="1" s="1" a="1"/>
  <c r="R162" i="1" s="1"/>
  <c r="Q280" i="1"/>
  <c r="I156" i="1"/>
  <c r="I68" i="1"/>
  <c r="I65" i="1"/>
  <c r="I67" i="1"/>
  <c r="I69" i="1"/>
  <c r="I64" i="1"/>
  <c r="I70" i="1"/>
  <c r="I63" i="1"/>
  <c r="I66" i="1"/>
  <c r="AZ156" i="1"/>
  <c r="AZ67" i="1"/>
  <c r="AZ64" i="1"/>
  <c r="AZ65" i="1"/>
  <c r="AZ70" i="1"/>
  <c r="AZ68" i="1"/>
  <c r="AZ66" i="1"/>
  <c r="AZ69" i="1"/>
  <c r="AZ63" i="1"/>
  <c r="D40" i="1"/>
  <c r="T156" i="1"/>
  <c r="T67" i="1"/>
  <c r="T64" i="1"/>
  <c r="T69" i="1"/>
  <c r="T65" i="1"/>
  <c r="T63" i="1"/>
  <c r="T70" i="1"/>
  <c r="T66" i="1"/>
  <c r="T68" i="1"/>
  <c r="L255" i="1"/>
  <c r="J280" i="1"/>
  <c r="AE66" i="1"/>
  <c r="AE67" i="1"/>
  <c r="AE156" i="1"/>
  <c r="AE69" i="1"/>
  <c r="AE65" i="1"/>
  <c r="AE64" i="1"/>
  <c r="AE63" i="1"/>
  <c r="AE68" i="1"/>
  <c r="AE70" i="1"/>
  <c r="AP253" i="1"/>
  <c r="Z161" i="1"/>
  <c r="Z162" i="1" s="1" a="1"/>
  <c r="Z162" i="1" s="1"/>
  <c r="H255" i="1"/>
  <c r="Y256" i="1"/>
  <c r="Y269" i="1"/>
  <c r="AQ254" i="1"/>
  <c r="AP255" i="1"/>
  <c r="Q254" i="1"/>
  <c r="AX274" i="1"/>
  <c r="G270" i="1"/>
  <c r="Q274" i="1"/>
  <c r="Q231" i="1"/>
  <c r="AP252" i="1"/>
  <c r="W161" i="1"/>
  <c r="W162" i="1" s="1" a="1"/>
  <c r="W162" i="1" s="1"/>
  <c r="Q252" i="1"/>
  <c r="AK231" i="1"/>
  <c r="AO253" i="1"/>
  <c r="Q270" i="1"/>
  <c r="AX251" i="1"/>
  <c r="D144" i="1"/>
  <c r="AG251" i="1"/>
  <c r="BB255" i="1"/>
  <c r="AY156" i="1"/>
  <c r="AY70" i="1"/>
  <c r="AY67" i="1"/>
  <c r="AY69" i="1"/>
  <c r="AY65" i="1"/>
  <c r="AY68" i="1"/>
  <c r="AY64" i="1"/>
  <c r="AY63" i="1"/>
  <c r="AY66" i="1"/>
  <c r="P280" i="1"/>
  <c r="BA156" i="1"/>
  <c r="BA64" i="1"/>
  <c r="BA69" i="1"/>
  <c r="BA67" i="1"/>
  <c r="BA65" i="1"/>
  <c r="BA63" i="1"/>
  <c r="BA70" i="1"/>
  <c r="BA68" i="1"/>
  <c r="BA66" i="1"/>
  <c r="BB254" i="1"/>
  <c r="AP271" i="1"/>
  <c r="BA230" i="1" a="1"/>
  <c r="BA230" i="1" s="1"/>
  <c r="AQ270" i="1"/>
  <c r="AB273" i="1"/>
  <c r="AR230" i="1" a="1"/>
  <c r="AR230" i="1" s="1"/>
  <c r="BB252" i="1"/>
  <c r="AK84" i="1"/>
  <c r="AX254" i="1"/>
  <c r="AB256" i="1"/>
  <c r="G254" i="1"/>
  <c r="AX256" i="1"/>
  <c r="Q256" i="1"/>
  <c r="Y255" i="1"/>
  <c r="BB232" i="1"/>
  <c r="AP274" i="1"/>
  <c r="X270" i="1"/>
  <c r="AN161" i="1"/>
  <c r="AN162" i="1" s="1" a="1"/>
  <c r="AN162" i="1" s="1"/>
  <c r="H161" i="1"/>
  <c r="H162" i="1" s="1" a="1"/>
  <c r="H162" i="1" s="1"/>
  <c r="D162" i="1" s="1"/>
  <c r="G251" i="1"/>
  <c r="AM168" i="1"/>
  <c r="AP270" i="1"/>
  <c r="AQ231" i="1"/>
  <c r="H271" i="1"/>
  <c r="AP251" i="1"/>
  <c r="Y251" i="1"/>
  <c r="AO271" i="1"/>
  <c r="AN84" i="1"/>
  <c r="AA230" i="1" a="1"/>
  <c r="AA230" i="1" s="1"/>
  <c r="AJ156" i="1"/>
  <c r="AJ67" i="1"/>
  <c r="AJ64" i="1"/>
  <c r="AJ63" i="1"/>
  <c r="AJ65" i="1"/>
  <c r="AJ70" i="1"/>
  <c r="AJ68" i="1"/>
  <c r="AJ69" i="1"/>
  <c r="AJ66" i="1"/>
  <c r="AQ156" i="1"/>
  <c r="AQ70" i="1"/>
  <c r="AQ67" i="1"/>
  <c r="AQ65" i="1"/>
  <c r="AQ68" i="1"/>
  <c r="AQ66" i="1"/>
  <c r="AQ64" i="1"/>
  <c r="AQ69" i="1"/>
  <c r="AQ63" i="1"/>
  <c r="H280" i="1"/>
  <c r="AC156" i="1"/>
  <c r="AC64" i="1"/>
  <c r="AC69" i="1"/>
  <c r="AC68" i="1"/>
  <c r="AC66" i="1"/>
  <c r="AC63" i="1"/>
  <c r="AC65" i="1"/>
  <c r="AC67" i="1"/>
  <c r="AC70" i="1"/>
  <c r="H251" i="1"/>
  <c r="AQ253" i="1"/>
  <c r="H253" i="1"/>
  <c r="BB272" i="1"/>
  <c r="AB280" i="1"/>
  <c r="W156" i="1"/>
  <c r="W66" i="1"/>
  <c r="W67" i="1"/>
  <c r="W65" i="1"/>
  <c r="W63" i="1"/>
  <c r="W70" i="1"/>
  <c r="W68" i="1"/>
  <c r="W64" i="1"/>
  <c r="W69" i="1"/>
  <c r="AP254" i="1"/>
  <c r="AK255" i="1"/>
  <c r="AX269" i="1"/>
  <c r="Q269" i="1"/>
  <c r="AK254" i="1"/>
  <c r="P256" i="1"/>
  <c r="L254" i="1"/>
  <c r="Q255" i="1"/>
  <c r="K256" i="1"/>
  <c r="AO231" i="1"/>
  <c r="AY252" i="1"/>
  <c r="D125" i="1"/>
  <c r="AX272" i="1"/>
  <c r="BB270" i="1"/>
  <c r="BB251" i="1"/>
  <c r="AK270" i="1"/>
  <c r="AK251" i="1"/>
  <c r="X272" i="1"/>
  <c r="AC231" i="1"/>
  <c r="AG253" i="1"/>
  <c r="L270" i="1"/>
  <c r="L272" i="1"/>
  <c r="AG271" i="1"/>
  <c r="G253" i="1"/>
  <c r="AI156" i="1"/>
  <c r="AI70" i="1"/>
  <c r="AI67" i="1"/>
  <c r="AI69" i="1"/>
  <c r="AI63" i="1"/>
  <c r="AI65" i="1"/>
  <c r="AI66" i="1"/>
  <c r="AI64" i="1"/>
  <c r="AI68" i="1"/>
  <c r="Q156" i="1"/>
  <c r="Q68" i="1"/>
  <c r="Q65" i="1"/>
  <c r="Q66" i="1"/>
  <c r="Q69" i="1"/>
  <c r="Q67" i="1"/>
  <c r="Q64" i="1"/>
  <c r="Q63" i="1"/>
  <c r="Q70" i="1"/>
  <c r="AC84" i="1"/>
  <c r="AR156" i="1"/>
  <c r="AR67" i="1"/>
  <c r="AR64" i="1"/>
  <c r="AR68" i="1"/>
  <c r="AR70" i="1"/>
  <c r="AR66" i="1"/>
  <c r="AR63" i="1"/>
  <c r="AR69" i="1"/>
  <c r="AR65" i="1"/>
  <c r="E187" i="1"/>
  <c r="E201" i="1" s="1"/>
  <c r="E202" i="1" s="1"/>
  <c r="D202" i="1" s="1"/>
  <c r="F33" i="1"/>
  <c r="F34" i="1" s="1"/>
  <c r="D34" i="1" s="1"/>
  <c r="U156" i="1"/>
  <c r="U64" i="1"/>
  <c r="U69" i="1"/>
  <c r="U67" i="1"/>
  <c r="U63" i="1"/>
  <c r="U65" i="1"/>
  <c r="U70" i="1"/>
  <c r="U68" i="1"/>
  <c r="U66" i="1"/>
  <c r="AX280" i="1"/>
  <c r="S156" i="1"/>
  <c r="S70" i="1"/>
  <c r="S67" i="1"/>
  <c r="S69" i="1"/>
  <c r="S64" i="1"/>
  <c r="S65" i="1"/>
  <c r="S63" i="1"/>
  <c r="S68" i="1"/>
  <c r="S66" i="1"/>
  <c r="BB231" i="1"/>
  <c r="D84" i="1"/>
  <c r="D63" i="1"/>
  <c r="D64" i="1"/>
  <c r="D65" i="1"/>
  <c r="D66" i="1"/>
  <c r="AG156" i="1"/>
  <c r="AG68" i="1"/>
  <c r="AG65" i="1"/>
  <c r="AG64" i="1"/>
  <c r="AG69" i="1"/>
  <c r="AG67" i="1"/>
  <c r="AG63" i="1"/>
  <c r="AG70" i="1"/>
  <c r="AG66" i="1"/>
  <c r="X254" i="1"/>
  <c r="AC255" i="1"/>
  <c r="AP256" i="1"/>
  <c r="AC254" i="1"/>
  <c r="P269" i="1"/>
  <c r="G255" i="1"/>
  <c r="AY201" i="1"/>
  <c r="AY202" i="1" s="1"/>
  <c r="X251" i="1"/>
  <c r="AF161" i="1"/>
  <c r="AF162" i="1" s="1" a="1"/>
  <c r="AF162" i="1" s="1"/>
  <c r="AC251" i="1"/>
  <c r="AJ161" i="1"/>
  <c r="AJ162" i="1" s="1" a="1"/>
  <c r="AJ162" i="1" s="1"/>
  <c r="AR273" i="1"/>
  <c r="R84" i="1"/>
  <c r="AR280" i="1"/>
  <c r="AA156" i="1"/>
  <c r="AA70" i="1"/>
  <c r="AA67" i="1"/>
  <c r="AA65" i="1"/>
  <c r="AA68" i="1"/>
  <c r="AA66" i="1"/>
  <c r="AA69" i="1"/>
  <c r="AA64" i="1"/>
  <c r="AA63" i="1"/>
  <c r="AH161" i="1"/>
  <c r="AH162" i="1" s="1" a="1"/>
  <c r="AH162" i="1" s="1"/>
  <c r="AW156" i="1"/>
  <c r="AW68" i="1"/>
  <c r="AW65" i="1"/>
  <c r="AW63" i="1"/>
  <c r="AW69" i="1"/>
  <c r="AW67" i="1"/>
  <c r="AW70" i="1"/>
  <c r="AW66" i="1"/>
  <c r="AW64" i="1"/>
  <c r="AF84" i="1"/>
  <c r="AM156" i="1"/>
  <c r="AM66" i="1"/>
  <c r="AM63" i="1"/>
  <c r="AM65" i="1"/>
  <c r="AM70" i="1"/>
  <c r="AM68" i="1"/>
  <c r="AM69" i="1"/>
  <c r="AM64" i="1"/>
  <c r="AM67" i="1"/>
  <c r="L156" i="1"/>
  <c r="L67" i="1"/>
  <c r="L68" i="1"/>
  <c r="D68" i="1" s="1"/>
  <c r="L63" i="1"/>
  <c r="L70" i="1"/>
  <c r="L66" i="1"/>
  <c r="L65" i="1"/>
  <c r="L69" i="1"/>
  <c r="L64" i="1"/>
  <c r="M156" i="1"/>
  <c r="M64" i="1"/>
  <c r="M69" i="1"/>
  <c r="M70" i="1"/>
  <c r="M68" i="1"/>
  <c r="M63" i="1"/>
  <c r="M66" i="1"/>
  <c r="M67" i="1"/>
  <c r="M65" i="1"/>
  <c r="P84" i="1"/>
  <c r="AP280" i="1"/>
  <c r="D272" i="1" l="1"/>
  <c r="D274" i="1"/>
  <c r="D269" i="1"/>
  <c r="D251" i="1"/>
  <c r="D270" i="1"/>
  <c r="D256" i="1"/>
  <c r="D280" i="1"/>
  <c r="D273" i="1"/>
  <c r="D254" i="1"/>
  <c r="D253" i="1"/>
  <c r="D252" i="1"/>
  <c r="D255" i="1"/>
  <c r="D271" i="1"/>
  <c r="D277" i="1" l="1"/>
  <c r="D283" i="1" s="1"/>
  <c r="D284" i="1" s="1"/>
  <c r="D259" i="1"/>
  <c r="D261" i="1" s="1"/>
  <c r="D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<sst xmlns="http://schemas.openxmlformats.org/spreadsheetml/2006/main" count="234" uniqueCount="224">
  <si>
    <t>Choc S2</t>
  </si>
  <si>
    <t>CENTRAL</t>
  </si>
  <si>
    <t>Scenario</t>
  </si>
  <si>
    <t>Canton</t>
  </si>
  <si>
    <t>Fond_UC</t>
  </si>
  <si>
    <t>Horizon projection</t>
  </si>
  <si>
    <t>Synthèse des tests</t>
  </si>
  <si>
    <t>Choc S2 GSE</t>
  </si>
  <si>
    <t>Choc S2 Inflation</t>
  </si>
  <si>
    <t>ACTIF</t>
  </si>
  <si>
    <t>Valeur Comptable fin de période</t>
  </si>
  <si>
    <t>VC Fin - Obligation</t>
  </si>
  <si>
    <t>VC Fin - Immobilier</t>
  </si>
  <si>
    <t>VC Fin - Action</t>
  </si>
  <si>
    <t>VC Fin - Trésorerie</t>
  </si>
  <si>
    <t>VC Fin - Total</t>
  </si>
  <si>
    <t>Performance - Test Fuite VC</t>
  </si>
  <si>
    <t>VC Perf - Obligation</t>
  </si>
  <si>
    <t>VC Perf - Immobilier</t>
  </si>
  <si>
    <t>VC Perf - Action</t>
  </si>
  <si>
    <t>VC Perf - Trésorerie</t>
  </si>
  <si>
    <t>VC Perf - Total</t>
  </si>
  <si>
    <t>Pfis Perf - Obligation</t>
  </si>
  <si>
    <t>Pfis Perf - Immobilier</t>
  </si>
  <si>
    <t>Pfis Perf - Action</t>
  </si>
  <si>
    <t>Pfis Perf - Trésorerie</t>
  </si>
  <si>
    <t>Pfis Perf - Total</t>
  </si>
  <si>
    <t>Cf Passif Perf</t>
  </si>
  <si>
    <t>VC début de période + Pfis + Cf Passif - VC ap Perf</t>
  </si>
  <si>
    <t>Test fuite VC Perf</t>
  </si>
  <si>
    <t>Stratégie d'investissement - Test Fuite VC</t>
  </si>
  <si>
    <t>VC Strat Inv - Total</t>
  </si>
  <si>
    <t>Pfis Strat Inv - Total</t>
  </si>
  <si>
    <t>VC ap Perf + Pfis Strat Inv - VC ap Strat Inv</t>
  </si>
  <si>
    <t>Test fuite VC Strat Inv</t>
  </si>
  <si>
    <t>Valeur de marché post perf</t>
  </si>
  <si>
    <t>VM Perf - Obligation</t>
  </si>
  <si>
    <t>VM Perf - Immobilier</t>
  </si>
  <si>
    <t>VM Perf - Action</t>
  </si>
  <si>
    <t>VM Perf - Trésorerie</t>
  </si>
  <si>
    <t>VM Perf - Total</t>
  </si>
  <si>
    <t>Fuite économique</t>
  </si>
  <si>
    <t>Performance moyenne attendue sur la période entière</t>
  </si>
  <si>
    <t>Fuite économique recalculée</t>
  </si>
  <si>
    <t>Test fuite économique</t>
  </si>
  <si>
    <t>PMVL Perf - Obligation</t>
  </si>
  <si>
    <t>Valeur de marché post stratégie d'investissement</t>
  </si>
  <si>
    <t>VM Strat Inv - Obligation</t>
  </si>
  <si>
    <t>VM Strat Inv - Immobilier</t>
  </si>
  <si>
    <t>VM Strat Inv - Action</t>
  </si>
  <si>
    <t>VM Strat Inv - Trésorerie</t>
  </si>
  <si>
    <t>VM Strat Inv - Total</t>
  </si>
  <si>
    <t>% Allocation Obligation</t>
  </si>
  <si>
    <t>% Allocation Immobilier</t>
  </si>
  <si>
    <t>% Allocation Action</t>
  </si>
  <si>
    <t>% Allocation Trésorerie</t>
  </si>
  <si>
    <t>Test Allocation Cible Obligation</t>
  </si>
  <si>
    <t>Test Allocation Cible Immobilier</t>
  </si>
  <si>
    <t>Test Allocation Cible Action</t>
  </si>
  <si>
    <t>Test Allocation Cible Monétaire</t>
  </si>
  <si>
    <t>Valeur de marché fin d'année</t>
  </si>
  <si>
    <t>VM Fin - Obligation</t>
  </si>
  <si>
    <t>VM Fin - Immobilier</t>
  </si>
  <si>
    <t>VM Fin - Action</t>
  </si>
  <si>
    <t>VM Fin - Trésorerie</t>
  </si>
  <si>
    <t>VM Fin - Total</t>
  </si>
  <si>
    <t>PMVL fin d'année</t>
  </si>
  <si>
    <t>PMVL Fin - Obligation</t>
  </si>
  <si>
    <t>PMVL Fin - Immobilier</t>
  </si>
  <si>
    <t>PMVL Fin - Action</t>
  </si>
  <si>
    <t>PMVL Fin - Trésorerie</t>
  </si>
  <si>
    <t>PMVL Fin - Total</t>
  </si>
  <si>
    <t>Evolution de la Réserve de capitalisation</t>
  </si>
  <si>
    <t>Réserve de capitalisation - Début de période</t>
  </si>
  <si>
    <t>Réserve de capitalisation - Perf</t>
  </si>
  <si>
    <t>Réserve de capitalisation - StratInv</t>
  </si>
  <si>
    <t>Réserve de capitalisation - Fin</t>
  </si>
  <si>
    <t>PASSIF</t>
  </si>
  <si>
    <t>PM</t>
  </si>
  <si>
    <t>PM début de période</t>
  </si>
  <si>
    <t>PM après perf</t>
  </si>
  <si>
    <t>PM fin de période</t>
  </si>
  <si>
    <t>Frais de gestion sur encours UC</t>
  </si>
  <si>
    <t>Prestations nettes de chargements</t>
  </si>
  <si>
    <t>Prestations Arrerage nettes de chargements</t>
  </si>
  <si>
    <t>% Prst Arr / PM début</t>
  </si>
  <si>
    <t>Prestations Décès nettes de chargements</t>
  </si>
  <si>
    <t>% Prst Dc / PM début</t>
  </si>
  <si>
    <t>Prestations Rachat nettes de chargements</t>
  </si>
  <si>
    <t>% Prst Rt / PM début</t>
  </si>
  <si>
    <t>Prestations Totales nettes de chargements</t>
  </si>
  <si>
    <t>Prestations Totales nettes de chargements - Test</t>
  </si>
  <si>
    <t>Chargements</t>
  </si>
  <si>
    <t>Chargements sur prestations Arrerage</t>
  </si>
  <si>
    <t>Chargements sur prestations Décès</t>
  </si>
  <si>
    <t>Chargements sur prestations Rachat</t>
  </si>
  <si>
    <t>Chargements sur prestations - Total</t>
  </si>
  <si>
    <t>Intérêts crédités &amp; Participation aux bénéfices</t>
  </si>
  <si>
    <t>Intérêts crédités</t>
  </si>
  <si>
    <t>Assiette de calcul de la participation aux bénéfices</t>
  </si>
  <si>
    <t>Participation aux bénéfices</t>
  </si>
  <si>
    <t>Tx de PB</t>
  </si>
  <si>
    <t>Pm ap Perf + Pb</t>
  </si>
  <si>
    <t>Test Pm ap AlmCr = Pm ap Perf + Pb</t>
  </si>
  <si>
    <t>Nombres de contrats / assurés / bénéficiaires / âge moyen assé principal</t>
  </si>
  <si>
    <t>Nombre de contrats</t>
  </si>
  <si>
    <t>Nombre d'assurés</t>
  </si>
  <si>
    <t>Nombre de bénéficiaires</t>
  </si>
  <si>
    <t>Age moyen du portefeuille pondéré par les PM</t>
  </si>
  <si>
    <t>Age moyen du portefeuille pondéré par les nombres de contrats</t>
  </si>
  <si>
    <t>ALM &amp; Compte de résultat</t>
  </si>
  <si>
    <t>Solde Technique</t>
  </si>
  <si>
    <t>PM av perf - PM ap Perf</t>
  </si>
  <si>
    <t>Prestations Totales Nettes</t>
  </si>
  <si>
    <t>Chargements sur prestations</t>
  </si>
  <si>
    <t>Frais de gestion sur encours euro</t>
  </si>
  <si>
    <t>Chargements sur VC moyenne</t>
  </si>
  <si>
    <t>Solde technique</t>
  </si>
  <si>
    <t>Solde technique - Recalcul</t>
  </si>
  <si>
    <t>Solde technique - Test</t>
  </si>
  <si>
    <t>Solde Financier</t>
  </si>
  <si>
    <t>Pfis Tot - Obligation</t>
  </si>
  <si>
    <t>Pfis Tot - Immobilier</t>
  </si>
  <si>
    <t>Pfis Tot - Action</t>
  </si>
  <si>
    <t>Pfis Tot - Trésorerie</t>
  </si>
  <si>
    <t>Pfis Tot - Total</t>
  </si>
  <si>
    <t>Réserve Capitalisation - Dotation Reprise</t>
  </si>
  <si>
    <t>Frais de placement</t>
  </si>
  <si>
    <t>% Frais de placement / VM ap StratInv</t>
  </si>
  <si>
    <t>Chargements sur produits financiers</t>
  </si>
  <si>
    <t>Solde financier</t>
  </si>
  <si>
    <t>Solde financier - Recalcul</t>
  </si>
  <si>
    <t>Solde financier - Test</t>
  </si>
  <si>
    <t>Solde du compte de PB</t>
  </si>
  <si>
    <t>Montant Intérêts crédités</t>
  </si>
  <si>
    <t>Assiette pour le calcul de la PB</t>
  </si>
  <si>
    <t>Montant de PB</t>
  </si>
  <si>
    <t>Recalcul du taux servi</t>
  </si>
  <si>
    <t>Dotation Reprise de PPB</t>
  </si>
  <si>
    <t>Marge financière - Complément BEG</t>
  </si>
  <si>
    <t>Report de pertes N-1</t>
  </si>
  <si>
    <t>Solde compte de PB</t>
  </si>
  <si>
    <t>Solde Compte de PB - Recalcul</t>
  </si>
  <si>
    <t>Solde Compte de PB - Test</t>
  </si>
  <si>
    <t>PB distribuable</t>
  </si>
  <si>
    <t>Report de pertes</t>
  </si>
  <si>
    <t>Report Pertes</t>
  </si>
  <si>
    <t>BILAN</t>
  </si>
  <si>
    <t>Actif</t>
  </si>
  <si>
    <t>VC totale actif</t>
  </si>
  <si>
    <t>Passif</t>
  </si>
  <si>
    <t>Capitaux propres</t>
  </si>
  <si>
    <t>PPB</t>
  </si>
  <si>
    <t>PDD</t>
  </si>
  <si>
    <t>Réserve de capitalisation</t>
  </si>
  <si>
    <t>PRE</t>
  </si>
  <si>
    <t>Solde Compte de PB</t>
  </si>
  <si>
    <t>VC totale passif</t>
  </si>
  <si>
    <t>Ecart Bilan</t>
  </si>
  <si>
    <t>Ecart bilan - Test</t>
  </si>
  <si>
    <t>Ecart bilan - Recalcul</t>
  </si>
  <si>
    <t>Ecart bilan - Recalcul - Test</t>
  </si>
  <si>
    <t>Détail PPB</t>
  </si>
  <si>
    <t>PPB - Recalcul</t>
  </si>
  <si>
    <t>PPB - Test</t>
  </si>
  <si>
    <t>PPB - Génération 01</t>
  </si>
  <si>
    <t>PPB - Génération 02</t>
  </si>
  <si>
    <t>PPB - Génération 03</t>
  </si>
  <si>
    <t>PPB - Génération 04</t>
  </si>
  <si>
    <t>PPB - Génération 05</t>
  </si>
  <si>
    <t>PPB - Génération 06</t>
  </si>
  <si>
    <t>PPB - Génération 07</t>
  </si>
  <si>
    <t>PPB - Génération 08</t>
  </si>
  <si>
    <t>PPB - Génération 09</t>
  </si>
  <si>
    <t>PPB - Génération 10</t>
  </si>
  <si>
    <t>PPB - Génération 11</t>
  </si>
  <si>
    <t>PPB - Génération 12</t>
  </si>
  <si>
    <t>PPB - Génération 13</t>
  </si>
  <si>
    <t>PPB - Génération 14</t>
  </si>
  <si>
    <t>PPB - Génération 15</t>
  </si>
  <si>
    <t>FRAIS GENERAUX</t>
  </si>
  <si>
    <t>Frais généraux</t>
  </si>
  <si>
    <t>Frais généraux sur PM</t>
  </si>
  <si>
    <t>Frais généraux sur prestations</t>
  </si>
  <si>
    <t>Frais généraux de placement</t>
  </si>
  <si>
    <t>Frais généraux totaux</t>
  </si>
  <si>
    <t>Frais généraux sur prestations / Prestations (hors inflation)</t>
  </si>
  <si>
    <t>Frais généraux sur PM / PM (hors inflation)</t>
  </si>
  <si>
    <t>Frais généraux de placement / VM ap Strat Inv</t>
  </si>
  <si>
    <t>Frais généraux totaux - Test</t>
  </si>
  <si>
    <t>VARIABLES ECONOMIQUES</t>
  </si>
  <si>
    <t>Inflation</t>
  </si>
  <si>
    <t>Taux inflation</t>
  </si>
  <si>
    <t>Facteur inflation</t>
  </si>
  <si>
    <t>Déflateurs</t>
  </si>
  <si>
    <t>Déflateur début de période</t>
  </si>
  <si>
    <t>Déflateur fin de période</t>
  </si>
  <si>
    <t>CT EIOPA - Recalcul Taux Zero Coupon</t>
  </si>
  <si>
    <t>BEST ESTIMATE</t>
  </si>
  <si>
    <t>Composantes du Best Estimate par iteration</t>
  </si>
  <si>
    <t>PM fin actualisée</t>
  </si>
  <si>
    <t>PPB fin actualisée</t>
  </si>
  <si>
    <t>Prestations Arrerage</t>
  </si>
  <si>
    <t>Prestations Décès</t>
  </si>
  <si>
    <t>Prestations Rachat</t>
  </si>
  <si>
    <t>Frais généraux sur Prestations</t>
  </si>
  <si>
    <t>Best Estimate</t>
  </si>
  <si>
    <t>Best Estimate recalculé</t>
  </si>
  <si>
    <t>Test Best Estimate</t>
  </si>
  <si>
    <t>Composantes de la NAV</t>
  </si>
  <si>
    <t>Capitaux Propres Fin actualisés</t>
  </si>
  <si>
    <t>Solde de PB Fin actualisé</t>
  </si>
  <si>
    <t>Marge Fi BEG Fin actualisée</t>
  </si>
  <si>
    <t>Réserve de capitalisation fin actualisée</t>
  </si>
  <si>
    <t>PMVL fin actualisées</t>
  </si>
  <si>
    <t>Chargements placements</t>
  </si>
  <si>
    <t>Chargements sur PM euro</t>
  </si>
  <si>
    <t>Chargements sur PM UC</t>
  </si>
  <si>
    <t>Chargements sur Vc Moyenne</t>
  </si>
  <si>
    <t>Net Asset Value</t>
  </si>
  <si>
    <t>Net Asset Value recalculée</t>
  </si>
  <si>
    <t>Test cohérence</t>
  </si>
  <si>
    <t>MV(t=0)-BE-NAV+Fuite économique</t>
  </si>
  <si>
    <t>MV(t=0)-BE-NAV+Fuite économique :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</si>
</sst>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##\ \ ###\ \ ###\ \ ###\ ##0"/>
    <numFmt numFmtId="165" formatCode="_-* #,##0.00\ _€_-;\-* #,##0.00\ _€_-;_-* &quot;-&quot;??\ _€_-;_-@_-"/>
    <numFmt numFmtId="166" formatCode="_(* #,##0.000000_);_(* \(#,##0.000000\);_(* &quot;-&quot;??_);_(@_)"/>
    <numFmt numFmtId="167" formatCode="0.000%"/>
    <numFmt numFmtId="168" formatCode="0.0000%"/>
    <numFmt numFmtId="169" formatCode="_(* #,##0.0000_);_(* \(#,##0.000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Segoe UI"/>
      <family val="2"/>
    </font>
    <font>
      <b/>
      <sz val="12"/>
      <name val="Calibri"/>
      <family val="2"/>
    </font>
    <font>
      <b/>
      <sz val="11"/>
      <name val="Segoe UI"/>
      <family val="2"/>
    </font>
    <font>
      <sz val="11"/>
      <name val="Segoe UI"/>
      <family val="2"/>
    </font>
    <font>
      <i/>
      <sz val="11"/>
      <name val="Segoe UI"/>
      <family val="2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8CFD6"/>
      </patternFill>
    </fill>
    <fill>
      <patternFill patternType="solid">
        <fgColor rgb="FFC7EFF1"/>
      </patternFill>
    </fill>
    <fill>
      <patternFill patternType="solid">
        <fgColor theme="0"/>
        <bgColor indexed="64"/>
      </patternFill>
    </fill>
    <fill>
      <patternFill patternType="solid">
        <fgColor rgb="FFFEDD9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C5D8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81E7FF"/>
        <bgColor indexed="64"/>
      </patternFill>
    </fill>
  </fills>
  <borders count="31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FFC000"/>
      </left>
      <right/>
      <top/>
      <bottom/>
      <diagonal/>
    </border>
    <border>
      <left/>
      <right style="thin">
        <color theme="8" tint="0.39991454817346722"/>
      </right>
      <top/>
      <bottom/>
      <diagonal/>
    </border>
    <border>
      <left/>
      <right/>
      <top style="thin">
        <color theme="8" tint="0.39994506668294322"/>
      </top>
      <bottom/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/>
      <right style="thin">
        <color theme="7" tint="0.39991454817346722"/>
      </right>
      <top/>
      <bottom/>
      <diagonal/>
    </border>
    <border>
      <left/>
      <right/>
      <top style="thin">
        <color theme="7" tint="0.39994506668294322"/>
      </top>
      <bottom/>
      <diagonal/>
    </border>
    <border>
      <left/>
      <right/>
      <top/>
      <bottom style="thin">
        <color theme="7" tint="0.39994506668294322"/>
      </bottom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/>
      <right style="thin">
        <color theme="5" tint="0.39991454817346722"/>
      </right>
      <top/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/>
      <top/>
      <bottom style="thin">
        <color theme="5" tint="0.39994506668294322"/>
      </bottom>
      <diagonal/>
    </border>
    <border>
      <left/>
      <right/>
      <top style="thin">
        <color theme="5" tint="0.39991454817346722"/>
      </top>
      <bottom style="thin">
        <color theme="5" tint="0.39994506668294322"/>
      </bottom>
      <diagonal/>
    </border>
    <border>
      <left/>
      <right style="thin">
        <color theme="9" tint="0.39991454817346722"/>
      </right>
      <top/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/>
      <bottom style="thin">
        <color theme="9" tint="0.39994506668294322"/>
      </bottom>
      <diagonal/>
    </border>
    <border>
      <left/>
      <right style="thin">
        <color theme="4" tint="0.39991454817346722"/>
      </right>
      <top/>
      <bottom/>
      <diagonal/>
    </border>
    <border>
      <left/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 style="thin">
        <color theme="3" tint="0.39991454817346722"/>
      </bottom>
      <diagonal/>
    </border>
    <border>
      <left/>
      <right/>
      <top style="thin">
        <color theme="3" tint="0.39991454817346722"/>
      </top>
      <bottom style="thin">
        <color theme="3" tint="0.399914548173467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3" tint="0.39991454817346722"/>
      </top>
      <bottom style="thin">
        <color theme="3" tint="0.39994506668294322"/>
      </bottom>
      <diagonal/>
    </border>
    <border>
      <left/>
      <right/>
      <top style="thin">
        <color rgb="FFFF6699"/>
      </top>
      <bottom style="thin">
        <color rgb="FFFF6699"/>
      </bottom>
      <diagonal/>
    </border>
    <border>
      <left/>
      <right/>
      <top/>
      <bottom style="thin">
        <color rgb="FFFF6699"/>
      </bottom>
      <diagonal/>
    </border>
    <border>
      <left/>
      <right/>
      <top style="thin">
        <color rgb="FF00CCFF"/>
      </top>
      <bottom style="thin">
        <color rgb="FF00CCF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left"/>
    </xf>
    <xf numFmtId="0" fontId="4" fillId="2" borderId="1" xfId="0" applyFont="1" applyFill="1" applyBorder="1"/>
    <xf numFmtId="0" fontId="4" fillId="2" borderId="2" xfId="0" applyFont="1" applyFill="1" applyBorder="1"/>
    <xf numFmtId="0" fontId="5" fillId="0" borderId="3" xfId="0" applyFont="1" applyBorder="1" applyAlignment="1">
      <alignment horizontal="left"/>
    </xf>
    <xf numFmtId="0" fontId="2" fillId="0" borderId="3" xfId="0" applyFont="1" applyBorder="1"/>
    <xf numFmtId="43" fontId="6" fillId="0" borderId="3" xfId="1" applyFont="1" applyBorder="1" applyAlignment="1">
      <alignment horizontal="right"/>
    </xf>
    <xf numFmtId="164" fontId="0" fillId="0" borderId="0" xfId="0" applyNumberFormat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 indent="2"/>
    </xf>
    <xf numFmtId="0" fontId="6" fillId="3" borderId="5" xfId="0" applyFont="1" applyFill="1" applyBorder="1" applyAlignment="1">
      <alignment horizontal="left" indent="2"/>
    </xf>
    <xf numFmtId="0" fontId="0" fillId="3" borderId="4" xfId="0" applyFill="1" applyBorder="1" applyAlignment="1">
      <alignment horizontal="left"/>
    </xf>
    <xf numFmtId="0" fontId="6" fillId="4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 indent="2"/>
    </xf>
    <xf numFmtId="0" fontId="7" fillId="4" borderId="0" xfId="0" applyFont="1" applyFill="1" applyAlignment="1">
      <alignment horizontal="left" indent="2"/>
    </xf>
    <xf numFmtId="43" fontId="7" fillId="5" borderId="7" xfId="1" applyFont="1" applyFill="1" applyBorder="1" applyAlignment="1">
      <alignment horizontal="left" indent="2"/>
    </xf>
    <xf numFmtId="165" fontId="0" fillId="0" borderId="0" xfId="3" applyFont="1" applyAlignment="1">
      <alignment horizontal="left"/>
    </xf>
    <xf numFmtId="0" fontId="0" fillId="3" borderId="0" xfId="0" applyFill="1" applyAlignment="1">
      <alignment horizontal="left"/>
    </xf>
    <xf numFmtId="0" fontId="6" fillId="4" borderId="0" xfId="0" applyFont="1" applyFill="1" applyAlignment="1">
      <alignment horizontal="left"/>
    </xf>
    <xf numFmtId="0" fontId="8" fillId="4" borderId="0" xfId="0" applyFont="1" applyFill="1" applyAlignment="1">
      <alignment horizontal="left" indent="2"/>
    </xf>
    <xf numFmtId="43" fontId="7" fillId="5" borderId="8" xfId="1" applyFont="1" applyFill="1" applyBorder="1" applyAlignment="1">
      <alignment horizontal="right"/>
    </xf>
    <xf numFmtId="43" fontId="7" fillId="5" borderId="6" xfId="1" applyFont="1" applyFill="1" applyBorder="1" applyAlignment="1">
      <alignment horizontal="right"/>
    </xf>
    <xf numFmtId="166" fontId="7" fillId="5" borderId="7" xfId="1" applyNumberFormat="1" applyFont="1" applyFill="1" applyBorder="1" applyAlignment="1">
      <alignment horizontal="left" indent="2"/>
    </xf>
    <xf numFmtId="0" fontId="9" fillId="3" borderId="0" xfId="0" applyFont="1" applyFill="1" applyAlignment="1">
      <alignment horizontal="left"/>
    </xf>
    <xf numFmtId="0" fontId="9" fillId="0" borderId="0" xfId="0" applyFont="1"/>
    <xf numFmtId="10" fontId="7" fillId="5" borderId="7" xfId="2" applyNumberFormat="1" applyFont="1" applyFill="1" applyBorder="1" applyAlignment="1">
      <alignment horizontal="right"/>
    </xf>
    <xf numFmtId="43" fontId="0" fillId="0" borderId="0" xfId="1" applyFont="1"/>
    <xf numFmtId="0" fontId="7" fillId="0" borderId="0" xfId="0" applyFont="1" applyAlignment="1">
      <alignment horizontal="left" indent="2"/>
    </xf>
    <xf numFmtId="164" fontId="7" fillId="0" borderId="0" xfId="0" applyNumberFormat="1" applyFont="1" applyAlignment="1">
      <alignment horizontal="left" indent="2"/>
    </xf>
    <xf numFmtId="164" fontId="2" fillId="0" borderId="0" xfId="0" applyNumberFormat="1" applyFont="1"/>
    <xf numFmtId="0" fontId="6" fillId="6" borderId="0" xfId="0" applyFont="1" applyFill="1" applyAlignment="1">
      <alignment horizontal="left"/>
    </xf>
    <xf numFmtId="0" fontId="6" fillId="6" borderId="0" xfId="0" applyFont="1" applyFill="1" applyAlignment="1">
      <alignment horizontal="left" indent="2"/>
    </xf>
    <xf numFmtId="0" fontId="6" fillId="6" borderId="9" xfId="0" applyFont="1" applyFill="1" applyBorder="1" applyAlignment="1">
      <alignment horizontal="left" indent="2"/>
    </xf>
    <xf numFmtId="0" fontId="2" fillId="0" borderId="0" xfId="0" applyFont="1"/>
    <xf numFmtId="0" fontId="0" fillId="6" borderId="0" xfId="0" applyFill="1" applyAlignment="1">
      <alignment horizontal="left"/>
    </xf>
    <xf numFmtId="0" fontId="6" fillId="7" borderId="10" xfId="0" applyFont="1" applyFill="1" applyBorder="1" applyAlignment="1">
      <alignment horizontal="left"/>
    </xf>
    <xf numFmtId="43" fontId="7" fillId="0" borderId="11" xfId="1" applyFont="1" applyBorder="1" applyAlignment="1">
      <alignment horizontal="left" indent="2"/>
    </xf>
    <xf numFmtId="0" fontId="7" fillId="7" borderId="0" xfId="0" applyFont="1" applyFill="1" applyAlignment="1">
      <alignment horizontal="left" indent="2"/>
    </xf>
    <xf numFmtId="43" fontId="7" fillId="0" borderId="12" xfId="1" applyFont="1" applyBorder="1" applyAlignment="1">
      <alignment horizontal="left" indent="2"/>
    </xf>
    <xf numFmtId="0" fontId="6" fillId="7" borderId="0" xfId="0" applyFont="1" applyFill="1" applyAlignment="1">
      <alignment horizontal="left"/>
    </xf>
    <xf numFmtId="165" fontId="10" fillId="0" borderId="0" xfId="3" applyFont="1" applyAlignment="1">
      <alignment horizontal="left"/>
    </xf>
    <xf numFmtId="0" fontId="10" fillId="6" borderId="0" xfId="0" applyFont="1" applyFill="1" applyAlignment="1">
      <alignment horizontal="left"/>
    </xf>
    <xf numFmtId="0" fontId="8" fillId="7" borderId="0" xfId="0" applyFont="1" applyFill="1" applyAlignment="1">
      <alignment horizontal="left" indent="4"/>
    </xf>
    <xf numFmtId="167" fontId="8" fillId="0" borderId="12" xfId="2" applyNumberFormat="1" applyFont="1" applyBorder="1" applyAlignment="1"/>
    <xf numFmtId="0" fontId="10" fillId="0" borderId="0" xfId="0" applyFont="1"/>
    <xf numFmtId="0" fontId="8" fillId="7" borderId="0" xfId="0" applyFont="1" applyFill="1" applyAlignment="1">
      <alignment horizontal="left" indent="2"/>
    </xf>
    <xf numFmtId="43" fontId="7" fillId="0" borderId="12" xfId="1" applyFont="1" applyBorder="1" applyAlignment="1">
      <alignment horizontal="right"/>
    </xf>
    <xf numFmtId="0" fontId="8" fillId="7" borderId="0" xfId="0" applyFont="1" applyFill="1" applyAlignment="1">
      <alignment horizontal="right"/>
    </xf>
    <xf numFmtId="167" fontId="7" fillId="0" borderId="12" xfId="2" applyNumberFormat="1" applyFont="1" applyBorder="1" applyAlignment="1"/>
    <xf numFmtId="0" fontId="7" fillId="7" borderId="11" xfId="0" applyFont="1" applyFill="1" applyBorder="1" applyAlignment="1">
      <alignment horizontal="left" indent="2"/>
    </xf>
    <xf numFmtId="165" fontId="0" fillId="0" borderId="0" xfId="3" applyFont="1" applyFill="1" applyAlignment="1">
      <alignment horizontal="left"/>
    </xf>
    <xf numFmtId="0" fontId="8" fillId="0" borderId="0" xfId="0" applyFont="1" applyAlignment="1">
      <alignment horizontal="right"/>
    </xf>
    <xf numFmtId="0" fontId="6" fillId="8" borderId="0" xfId="0" applyFont="1" applyFill="1" applyAlignment="1">
      <alignment horizontal="left"/>
    </xf>
    <xf numFmtId="0" fontId="2" fillId="8" borderId="0" xfId="0" applyFont="1" applyFill="1" applyAlignment="1">
      <alignment horizontal="left"/>
    </xf>
    <xf numFmtId="0" fontId="6" fillId="8" borderId="0" xfId="0" applyFont="1" applyFill="1" applyAlignment="1">
      <alignment horizontal="left" indent="2"/>
    </xf>
    <xf numFmtId="0" fontId="6" fillId="8" borderId="13" xfId="0" applyFont="1" applyFill="1" applyBorder="1" applyAlignment="1">
      <alignment horizontal="left" indent="2"/>
    </xf>
    <xf numFmtId="0" fontId="0" fillId="8" borderId="0" xfId="0" applyFill="1" applyAlignment="1">
      <alignment horizontal="left"/>
    </xf>
    <xf numFmtId="0" fontId="6" fillId="9" borderId="14" xfId="0" applyFont="1" applyFill="1" applyBorder="1" applyAlignment="1">
      <alignment horizontal="left"/>
    </xf>
    <xf numFmtId="0" fontId="7" fillId="0" borderId="15" xfId="0" applyFont="1" applyBorder="1" applyAlignment="1">
      <alignment horizontal="left" indent="2"/>
    </xf>
    <xf numFmtId="0" fontId="7" fillId="9" borderId="0" xfId="0" applyFont="1" applyFill="1" applyAlignment="1">
      <alignment horizontal="left" indent="2"/>
    </xf>
    <xf numFmtId="43" fontId="7" fillId="0" borderId="15" xfId="1" applyFont="1" applyBorder="1" applyAlignment="1">
      <alignment horizontal="left" indent="2"/>
    </xf>
    <xf numFmtId="0" fontId="8" fillId="9" borderId="0" xfId="0" applyFont="1" applyFill="1" applyAlignment="1">
      <alignment horizontal="left" indent="2"/>
    </xf>
    <xf numFmtId="0" fontId="6" fillId="9" borderId="0" xfId="0" applyFont="1" applyFill="1" applyAlignment="1">
      <alignment horizontal="left"/>
    </xf>
    <xf numFmtId="0" fontId="7" fillId="0" borderId="16" xfId="0" applyFont="1" applyBorder="1" applyAlignment="1">
      <alignment horizontal="right" indent="2"/>
    </xf>
    <xf numFmtId="43" fontId="7" fillId="0" borderId="16" xfId="1" applyFont="1" applyBorder="1" applyAlignment="1">
      <alignment horizontal="right"/>
    </xf>
    <xf numFmtId="0" fontId="8" fillId="9" borderId="0" xfId="0" applyFont="1" applyFill="1" applyAlignment="1">
      <alignment horizontal="left" indent="4"/>
    </xf>
    <xf numFmtId="43" fontId="7" fillId="0" borderId="16" xfId="1" applyFont="1" applyBorder="1" applyAlignment="1">
      <alignment horizontal="left" indent="2"/>
    </xf>
    <xf numFmtId="43" fontId="7" fillId="0" borderId="17" xfId="1" applyFont="1" applyBorder="1" applyAlignment="1">
      <alignment horizontal="right"/>
    </xf>
    <xf numFmtId="165" fontId="0" fillId="0" borderId="0" xfId="0" applyNumberFormat="1"/>
    <xf numFmtId="0" fontId="7" fillId="9" borderId="16" xfId="0" applyFont="1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6" fillId="10" borderId="0" xfId="0" applyFont="1" applyFill="1" applyAlignment="1">
      <alignment horizontal="left"/>
    </xf>
    <xf numFmtId="0" fontId="6" fillId="10" borderId="0" xfId="0" applyFont="1" applyFill="1" applyAlignment="1">
      <alignment horizontal="left" indent="2"/>
    </xf>
    <xf numFmtId="0" fontId="6" fillId="10" borderId="18" xfId="0" applyFont="1" applyFill="1" applyBorder="1" applyAlignment="1">
      <alignment horizontal="left" indent="2"/>
    </xf>
    <xf numFmtId="0" fontId="0" fillId="10" borderId="0" xfId="0" applyFill="1" applyAlignment="1">
      <alignment horizontal="left"/>
    </xf>
    <xf numFmtId="0" fontId="6" fillId="11" borderId="19" xfId="0" applyFont="1" applyFill="1" applyBorder="1" applyAlignment="1">
      <alignment horizontal="left"/>
    </xf>
    <xf numFmtId="43" fontId="7" fillId="0" borderId="20" xfId="1" applyFont="1" applyBorder="1" applyAlignment="1">
      <alignment horizontal="left" indent="2"/>
    </xf>
    <xf numFmtId="0" fontId="7" fillId="11" borderId="0" xfId="0" applyFont="1" applyFill="1" applyAlignment="1">
      <alignment horizontal="left" indent="2"/>
    </xf>
    <xf numFmtId="0" fontId="8" fillId="11" borderId="0" xfId="0" applyFont="1" applyFill="1" applyAlignment="1">
      <alignment horizontal="right"/>
    </xf>
    <xf numFmtId="0" fontId="6" fillId="11" borderId="0" xfId="0" applyFont="1" applyFill="1" applyAlignment="1">
      <alignment horizontal="left"/>
    </xf>
    <xf numFmtId="0" fontId="8" fillId="11" borderId="0" xfId="0" applyFont="1" applyFill="1" applyAlignment="1">
      <alignment horizontal="left" indent="2"/>
    </xf>
    <xf numFmtId="0" fontId="7" fillId="0" borderId="20" xfId="0" applyFont="1" applyBorder="1" applyAlignment="1">
      <alignment horizontal="left" indent="2"/>
    </xf>
    <xf numFmtId="165" fontId="7" fillId="0" borderId="20" xfId="0" applyNumberFormat="1" applyFont="1" applyBorder="1" applyAlignment="1">
      <alignment horizontal="left" indent="2"/>
    </xf>
    <xf numFmtId="0" fontId="8" fillId="11" borderId="21" xfId="0" applyFont="1" applyFill="1" applyBorder="1" applyAlignment="1">
      <alignment horizontal="right"/>
    </xf>
    <xf numFmtId="0" fontId="6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6" fillId="12" borderId="0" xfId="0" applyFont="1" applyFill="1" applyAlignment="1">
      <alignment horizontal="left" indent="2"/>
    </xf>
    <xf numFmtId="0" fontId="6" fillId="12" borderId="22" xfId="0" applyFont="1" applyFill="1" applyBorder="1" applyAlignment="1">
      <alignment horizontal="left" indent="2"/>
    </xf>
    <xf numFmtId="0" fontId="6" fillId="13" borderId="23" xfId="0" applyFont="1" applyFill="1" applyBorder="1" applyAlignment="1">
      <alignment horizontal="left"/>
    </xf>
    <xf numFmtId="0" fontId="7" fillId="0" borderId="24" xfId="0" applyFont="1" applyBorder="1" applyAlignment="1">
      <alignment horizontal="left" indent="2"/>
    </xf>
    <xf numFmtId="0" fontId="7" fillId="13" borderId="0" xfId="0" applyFont="1" applyFill="1" applyAlignment="1">
      <alignment horizontal="left" indent="2"/>
    </xf>
    <xf numFmtId="43" fontId="7" fillId="0" borderId="25" xfId="1" applyFont="1" applyBorder="1" applyAlignment="1">
      <alignment horizontal="left" indent="2"/>
    </xf>
    <xf numFmtId="0" fontId="8" fillId="13" borderId="0" xfId="0" applyFont="1" applyFill="1" applyAlignment="1">
      <alignment horizontal="left" indent="2"/>
    </xf>
    <xf numFmtId="168" fontId="7" fillId="0" borderId="25" xfId="2" applyNumberFormat="1" applyFont="1" applyBorder="1" applyAlignment="1">
      <alignment horizontal="right"/>
    </xf>
    <xf numFmtId="43" fontId="7" fillId="0" borderId="25" xfId="1" applyFont="1" applyBorder="1" applyAlignment="1">
      <alignment horizontal="right"/>
    </xf>
    <xf numFmtId="0" fontId="8" fillId="13" borderId="26" xfId="0" applyFont="1" applyFill="1" applyBorder="1" applyAlignment="1">
      <alignment horizontal="left" indent="2"/>
    </xf>
    <xf numFmtId="0" fontId="7" fillId="0" borderId="27" xfId="0" applyFont="1" applyBorder="1" applyAlignment="1">
      <alignment horizontal="left" indent="2"/>
    </xf>
    <xf numFmtId="0" fontId="6" fillId="14" borderId="0" xfId="0" applyFont="1" applyFill="1" applyAlignment="1">
      <alignment horizontal="left"/>
    </xf>
    <xf numFmtId="0" fontId="0" fillId="14" borderId="0" xfId="0" applyFill="1" applyAlignment="1">
      <alignment horizontal="left"/>
    </xf>
    <xf numFmtId="0" fontId="6" fillId="14" borderId="0" xfId="0" applyFont="1" applyFill="1" applyAlignment="1">
      <alignment horizontal="left" indent="2"/>
    </xf>
    <xf numFmtId="0" fontId="6" fillId="14" borderId="22" xfId="0" applyFont="1" applyFill="1" applyBorder="1" applyAlignment="1">
      <alignment horizontal="left" indent="2"/>
    </xf>
    <xf numFmtId="0" fontId="6" fillId="15" borderId="0" xfId="0" applyFont="1" applyFill="1" applyAlignment="1">
      <alignment horizontal="left"/>
    </xf>
    <xf numFmtId="43" fontId="7" fillId="0" borderId="28" xfId="1" applyFont="1" applyBorder="1" applyAlignment="1">
      <alignment horizontal="left" indent="2"/>
    </xf>
    <xf numFmtId="0" fontId="7" fillId="15" borderId="0" xfId="0" applyFont="1" applyFill="1" applyAlignment="1">
      <alignment horizontal="left" indent="2"/>
    </xf>
    <xf numFmtId="10" fontId="7" fillId="0" borderId="28" xfId="2" applyNumberFormat="1" applyFont="1" applyBorder="1" applyAlignment="1">
      <alignment horizontal="right"/>
    </xf>
    <xf numFmtId="169" fontId="7" fillId="0" borderId="28" xfId="1" applyNumberFormat="1" applyFont="1" applyBorder="1" applyAlignment="1">
      <alignment horizontal="left" indent="2"/>
    </xf>
    <xf numFmtId="0" fontId="8" fillId="15" borderId="0" xfId="0" applyFont="1" applyFill="1" applyAlignment="1">
      <alignment horizontal="left" indent="2"/>
    </xf>
    <xf numFmtId="168" fontId="7" fillId="0" borderId="28" xfId="2" applyNumberFormat="1" applyFont="1" applyBorder="1" applyAlignment="1">
      <alignment horizontal="right"/>
    </xf>
    <xf numFmtId="0" fontId="8" fillId="15" borderId="29" xfId="0" applyFont="1" applyFill="1" applyBorder="1" applyAlignment="1">
      <alignment horizontal="left" indent="2"/>
    </xf>
    <xf numFmtId="0" fontId="7" fillId="0" borderId="28" xfId="0" applyFont="1" applyBorder="1" applyAlignment="1">
      <alignment horizontal="left" indent="2"/>
    </xf>
    <xf numFmtId="0" fontId="6" fillId="16" borderId="0" xfId="0" applyFont="1" applyFill="1" applyAlignment="1">
      <alignment horizontal="left"/>
    </xf>
    <xf numFmtId="0" fontId="0" fillId="16" borderId="0" xfId="0" applyFill="1" applyAlignment="1">
      <alignment horizontal="left"/>
    </xf>
    <xf numFmtId="0" fontId="6" fillId="16" borderId="0" xfId="0" applyFont="1" applyFill="1" applyAlignment="1">
      <alignment horizontal="left" indent="2"/>
    </xf>
    <xf numFmtId="0" fontId="6" fillId="16" borderId="22" xfId="0" applyFont="1" applyFill="1" applyBorder="1" applyAlignment="1">
      <alignment horizontal="left" indent="2"/>
    </xf>
    <xf numFmtId="0" fontId="6" fillId="17" borderId="0" xfId="0" applyFont="1" applyFill="1" applyAlignment="1">
      <alignment horizontal="left"/>
    </xf>
    <xf numFmtId="0" fontId="11" fillId="0" borderId="30" xfId="0" applyFont="1" applyBorder="1"/>
    <xf numFmtId="0" fontId="7" fillId="17" borderId="0" xfId="0" applyFont="1" applyFill="1" applyAlignment="1">
      <alignment horizontal="left" indent="2"/>
    </xf>
    <xf numFmtId="165" fontId="11" fillId="0" borderId="30" xfId="0" applyNumberFormat="1" applyFont="1" applyBorder="1"/>
    <xf numFmtId="43" fontId="11" fillId="0" borderId="30" xfId="1" applyFont="1" applyBorder="1"/>
    <xf numFmtId="0" fontId="8" fillId="17" borderId="0" xfId="0" applyFont="1" applyFill="1" applyAlignment="1">
      <alignment horizontal="left" indent="2"/>
    </xf>
    <xf numFmtId="43" fontId="7" fillId="0" borderId="30" xfId="1" applyFont="1" applyBorder="1" applyAlignment="1">
      <alignment horizontal="right"/>
    </xf>
    <xf numFmtId="0" fontId="0" fillId="0" borderId="30" xfId="0" applyBorder="1"/>
  </cellXfs>
  <cellStyles count="4">
    <cellStyle name="Milliers" xfId="1" builtinId="3"/>
    <cellStyle name="Milliers 2" xfId="3" xr:uid="{5C7CB18D-8EC2-408E-AF8D-82745C06E9D5}"/>
    <cellStyle name="Normal" xfId="0" builtinId="0"/>
    <cellStyle name="Pourcentage" xfId="2" builtinId="5"/>
  </cellStyles>
  <dxfs count="56"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  <dxf>
      <font>
        <color theme="9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2</xdr:row>
          <xdr:rowOff>9525</xdr:rowOff>
        </xdr:from>
        <xdr:to>
          <xdr:col>6</xdr:col>
          <xdr:colOff>657225</xdr:colOff>
          <xdr:row>4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Initialiser listes déroulantes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9"/>
  </sheetPr>
  <dimension ref="A1:BD285"/>
  <sheetViews>
    <sheetView tabSelected="1" topLeftCell="A245" workbookViewId="0">
      <selection activeCell="B247" sqref="B247:C264"/>
    </sheetView>
  </sheetViews>
  <sheetFormatPr baseColWidth="10" defaultRowHeight="15" x14ac:dyDescent="0.25"/>
  <cols>
    <col min="1" max="1" width="3.42578125" customWidth="1"/>
    <col min="2" max="2" width="4.85546875" customWidth="1"/>
    <col min="3" max="3" width="108.42578125" bestFit="1" customWidth="1"/>
    <col min="4" max="4" width="18.85546875" bestFit="1" customWidth="1"/>
    <col min="5" max="5" width="20.5703125" customWidth="1"/>
    <col min="6" max="56" width="20.42578125" customWidth="1"/>
    <col min="57" max="57" width="1.85546875" customWidth="1"/>
  </cols>
  <sheetData>
    <row r="1" spans="1:56" x14ac:dyDescent="0.25">
      <c r="A1" s="1"/>
      <c r="B1" s="1"/>
      <c r="C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16.5" x14ac:dyDescent="0.3">
      <c r="A2" s="1"/>
      <c r="B2" s="2" t="s">
        <v>0</v>
      </c>
      <c r="C2" s="3"/>
      <c r="D2" s="4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16.5" x14ac:dyDescent="0.3">
      <c r="A3" s="1"/>
      <c r="B3" s="2" t="s">
        <v>2</v>
      </c>
      <c r="C3" s="3"/>
      <c r="D3" s="4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ht="16.5" x14ac:dyDescent="0.3">
      <c r="A4" s="1"/>
      <c r="B4" s="2" t="s">
        <v>3</v>
      </c>
      <c r="C4" s="3"/>
      <c r="D4" s="4" t="s">
        <v>4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16.5" x14ac:dyDescent="0.3">
      <c r="A5" s="1"/>
      <c r="B5" s="2" t="s">
        <v>5</v>
      </c>
      <c r="C5" s="3"/>
      <c r="D5" s="5">
        <v>2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16.5" x14ac:dyDescent="0.3">
      <c r="A6" s="1"/>
      <c r="B6" s="2" t="s">
        <v>6</v>
      </c>
      <c r="C6" s="3"/>
      <c r="D6" s="6" t="e">
        <f ca="1">AND(D34,D40,D67,D68,D69,D70,D125,D144,D177,D200,D202,D206,D233,D261,D52,D162,D284)</f>
        <v>#REF!</v>
      </c>
      <c r="F6" s="1"/>
      <c r="G6" s="1"/>
      <c r="H6" s="7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16.5" x14ac:dyDescent="0.3">
      <c r="A7" s="1"/>
      <c r="B7" s="2" t="s">
        <v>7</v>
      </c>
      <c r="C7" s="3"/>
      <c r="D7" s="4" t="str" cm="1">
        <f t="array" ref="D7">getChocS2GseFromChocS2(adProjChocS2)</f>
        <v>CENTRAL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16.5" x14ac:dyDescent="0.3">
      <c r="A8" s="1"/>
      <c r="B8" s="2" t="s">
        <v>8</v>
      </c>
      <c r="C8" s="3"/>
      <c r="D8" s="4" t="str" cm="1">
        <f t="array" ref="D8">getChocS2PassifFgxFromChocS2(adProjChocS2)</f>
        <v>CENTRAL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x14ac:dyDescent="0.25">
      <c r="A9" s="1"/>
      <c r="B9" s="1"/>
      <c r="C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x14ac:dyDescent="0.25">
      <c r="A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6" ht="16.5" x14ac:dyDescent="0.3">
      <c r="A11" s="1"/>
      <c r="B11" s="8" t="s">
        <v>9</v>
      </c>
      <c r="C11" s="8"/>
      <c r="D11" s="9">
        <v>0</v>
      </c>
      <c r="E11" s="9">
        <v>1</v>
      </c>
      <c r="F11" s="9">
        <v>2</v>
      </c>
      <c r="G11" s="9">
        <v>3</v>
      </c>
      <c r="H11" s="9">
        <v>4</v>
      </c>
      <c r="I11" s="9">
        <v>5</v>
      </c>
      <c r="J11" s="9">
        <v>6</v>
      </c>
      <c r="K11" s="9">
        <v>7</v>
      </c>
      <c r="L11" s="9">
        <v>8</v>
      </c>
      <c r="M11" s="9">
        <v>9</v>
      </c>
      <c r="N11" s="9">
        <v>10</v>
      </c>
      <c r="O11" s="9">
        <v>11</v>
      </c>
      <c r="P11" s="9">
        <v>12</v>
      </c>
      <c r="Q11" s="9">
        <v>13</v>
      </c>
      <c r="R11" s="9">
        <v>14</v>
      </c>
      <c r="S11" s="9">
        <v>15</v>
      </c>
      <c r="T11" s="9">
        <v>16</v>
      </c>
      <c r="U11" s="9">
        <v>17</v>
      </c>
      <c r="V11" s="9">
        <v>18</v>
      </c>
      <c r="W11" s="9">
        <v>19</v>
      </c>
      <c r="X11" s="9">
        <v>20</v>
      </c>
      <c r="Y11" s="9">
        <v>21</v>
      </c>
      <c r="Z11" s="9">
        <v>22</v>
      </c>
      <c r="AA11" s="9">
        <v>23</v>
      </c>
      <c r="AB11" s="9">
        <v>24</v>
      </c>
      <c r="AC11" s="9">
        <v>25</v>
      </c>
      <c r="AD11" s="9">
        <v>26</v>
      </c>
      <c r="AE11" s="9">
        <v>27</v>
      </c>
      <c r="AF11" s="9">
        <v>28</v>
      </c>
      <c r="AG11" s="9">
        <v>29</v>
      </c>
      <c r="AH11" s="9">
        <v>30</v>
      </c>
      <c r="AI11" s="9">
        <v>31</v>
      </c>
      <c r="AJ11" s="9">
        <v>32</v>
      </c>
      <c r="AK11" s="9">
        <v>33</v>
      </c>
      <c r="AL11" s="9">
        <v>34</v>
      </c>
      <c r="AM11" s="9">
        <v>35</v>
      </c>
      <c r="AN11" s="9">
        <v>36</v>
      </c>
      <c r="AO11" s="9">
        <v>37</v>
      </c>
      <c r="AP11" s="9">
        <v>38</v>
      </c>
      <c r="AQ11" s="9">
        <v>39</v>
      </c>
      <c r="AR11" s="9">
        <v>40</v>
      </c>
      <c r="AS11" s="9">
        <v>41</v>
      </c>
      <c r="AT11" s="9">
        <v>42</v>
      </c>
      <c r="AU11" s="9">
        <v>43</v>
      </c>
      <c r="AV11" s="9">
        <v>44</v>
      </c>
      <c r="AW11" s="9">
        <v>45</v>
      </c>
      <c r="AX11" s="9">
        <v>46</v>
      </c>
      <c r="AY11" s="9">
        <v>47</v>
      </c>
      <c r="AZ11" s="9">
        <v>48</v>
      </c>
      <c r="BA11" s="9">
        <v>49</v>
      </c>
      <c r="BB11" s="10">
        <v>50</v>
      </c>
    </row>
    <row r="12" spans="1:56" ht="16.5" x14ac:dyDescent="0.3">
      <c r="A12" s="1"/>
      <c r="B12" s="11"/>
      <c r="C12" s="12" t="s">
        <v>10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</row>
    <row r="13" spans="1:56" ht="16.5" x14ac:dyDescent="0.3">
      <c r="A13" s="1"/>
      <c r="B13" s="11"/>
      <c r="C13" s="14" t="s">
        <v>11</v>
      </c>
      <c r="D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E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F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G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H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I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J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K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L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M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N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O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P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Q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R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S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T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U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V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W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X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Y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Z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A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B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C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D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E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F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G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H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I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J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K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L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M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N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O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P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Q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R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S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T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U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V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W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X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Y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AZ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BA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  <c r="BB13" s="15">
        <f>SUMIFS(PrdAdActif!$M:$M,PrdAdActif!$B:$B,adProjChocS2,PrdAdActif!$C:$C,adProjScenario,PrdAdActif!$F:$F,adProjCdCanton,PrdAdActif!$G:$G,"OBLIGATION",PrdAdActif!$D:$D,adProjIteration,PrdAdActif!$I:$I,"0.Init")+SUMIFS(PrdAdActif!$M:$M,PrdAdActif!$B:$B,adProjChocS2,PrdAdActif!$C:$C,adProjScenario,PrdAdActif!$F:$F,adProjCdCanton,PrdAdActif!$G:$G,"OBLIGATION",PrdAdActif!$D:$D,adProjIteration,PrdAdActif!$I:$I,"3.AlmCr")</f>
        <v>0</v>
      </c>
    </row>
    <row r="14" spans="1:56" ht="16.5" x14ac:dyDescent="0.3">
      <c r="A14" s="16"/>
      <c r="B14" s="11"/>
      <c r="C14" s="14" t="s">
        <v>12</v>
      </c>
      <c r="D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E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F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G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H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I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J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K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L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M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N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O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P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Q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R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S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T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U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V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W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X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Y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Z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A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B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C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D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E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F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G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H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I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J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K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L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M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N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O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P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Q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R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S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T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U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V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W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X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Y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AZ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BA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  <c r="BB14" s="15">
        <f>SUMIFS(PrdAdActif!$M:$M,PrdAdActif!$B:$B,adProjChocS2,PrdAdActif!$C:$C,adProjScenario,PrdAdActif!$F:$F,adProjCdCanton,PrdAdActif!$G:$G,"IMMOBILIER",PrdAdActif!$D:$D,adProjIteration,PrdAdActif!$I:$I,"0.Init")+SUMIFS(PrdAdActif!$M:$M,PrdAdActif!$B:$B,adProjChocS2,PrdAdActif!$C:$C,adProjScenario,PrdAdActif!$F:$F,adProjCdCanton,PrdAdActif!$G:$G,"IMMOBILIER",PrdAdActif!$D:$D,adProjIteration,PrdAdActif!$I:$I,"3.AlmCr")</f>
        <v>0</v>
      </c>
    </row>
    <row r="15" spans="1:56" ht="16.5" x14ac:dyDescent="0.3">
      <c r="A15" s="16"/>
      <c r="B15" s="17"/>
      <c r="C15" s="14" t="s">
        <v>13</v>
      </c>
      <c r="D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E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F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G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H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I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J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K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L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M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N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O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P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Q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R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S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T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U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V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W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X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Y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Z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A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B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C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D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E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F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G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H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I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J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K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L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M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N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O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P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Q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R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S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T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U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V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W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X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Y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AZ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BA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  <c r="BB15" s="15">
        <f>SUMIFS(PrdAdActif!$M:$M,PrdAdActif!$B:$B,adProjChocS2,PrdAdActif!$C:$C,adProjScenario,PrdAdActif!$F:$F,adProjCdCanton,PrdAdActif!$G:$G,"ACTION",PrdAdActif!$D:$D,adProjIteration,PrdAdActif!$I:$I,"0.Init")+SUMIFS(PrdAdActif!$M:$M,PrdAdActif!$B:$B,adProjChocS2,PrdAdActif!$C:$C,adProjScenario,PrdAdActif!$F:$F,adProjCdCanton,PrdAdActif!$G:$G,"ACTION",PrdAdActif!$D:$D,adProjIteration,PrdAdActif!$I:$I,"3.AlmCr")</f>
        <v>0</v>
      </c>
    </row>
    <row r="16" spans="1:56" ht="16.5" x14ac:dyDescent="0.3">
      <c r="B16" s="17"/>
      <c r="C16" s="14" t="s">
        <v>14</v>
      </c>
      <c r="D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E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F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G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H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I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J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K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L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M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N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O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P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Q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R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S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T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U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V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W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X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Y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Z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A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B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C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D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E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F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G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H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I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J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K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L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M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N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O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P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Q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R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S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T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U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V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W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X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Y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Z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BA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BB1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</row>
    <row r="17" spans="2:54" ht="16.5" x14ac:dyDescent="0.3">
      <c r="B17" s="17"/>
      <c r="C17" s="14" t="s">
        <v>15</v>
      </c>
      <c r="D17" s="15">
        <f>SUM(D13:D16)</f>
        <v>0</v>
      </c>
      <c r="E17" s="15">
        <f>SUM(E13:E16)</f>
        <v>0</v>
      </c>
      <c r="F17" s="15">
        <f t="shared" ref="F17:BB17" si="0">SUM(F13:F16)</f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>
        <f t="shared" si="0"/>
        <v>0</v>
      </c>
      <c r="L17" s="15">
        <f t="shared" si="0"/>
        <v>0</v>
      </c>
      <c r="M17" s="15">
        <f t="shared" si="0"/>
        <v>0</v>
      </c>
      <c r="N17" s="15">
        <f t="shared" si="0"/>
        <v>0</v>
      </c>
      <c r="O17" s="15">
        <f t="shared" si="0"/>
        <v>0</v>
      </c>
      <c r="P17" s="15">
        <f t="shared" si="0"/>
        <v>0</v>
      </c>
      <c r="Q17" s="15">
        <f t="shared" si="0"/>
        <v>0</v>
      </c>
      <c r="R17" s="15">
        <f t="shared" si="0"/>
        <v>0</v>
      </c>
      <c r="S17" s="15">
        <f t="shared" si="0"/>
        <v>0</v>
      </c>
      <c r="T17" s="15">
        <f t="shared" si="0"/>
        <v>0</v>
      </c>
      <c r="U17" s="15">
        <f t="shared" si="0"/>
        <v>0</v>
      </c>
      <c r="V17" s="15">
        <f t="shared" si="0"/>
        <v>0</v>
      </c>
      <c r="W17" s="15">
        <f t="shared" si="0"/>
        <v>0</v>
      </c>
      <c r="X17" s="15">
        <f t="shared" si="0"/>
        <v>0</v>
      </c>
      <c r="Y17" s="15">
        <f t="shared" si="0"/>
        <v>0</v>
      </c>
      <c r="Z17" s="15">
        <f t="shared" si="0"/>
        <v>0</v>
      </c>
      <c r="AA17" s="15">
        <f t="shared" si="0"/>
        <v>0</v>
      </c>
      <c r="AB17" s="15">
        <f t="shared" si="0"/>
        <v>0</v>
      </c>
      <c r="AC17" s="15">
        <f t="shared" si="0"/>
        <v>0</v>
      </c>
      <c r="AD17" s="15">
        <f t="shared" si="0"/>
        <v>0</v>
      </c>
      <c r="AE17" s="15">
        <f t="shared" si="0"/>
        <v>0</v>
      </c>
      <c r="AF17" s="15">
        <f t="shared" si="0"/>
        <v>0</v>
      </c>
      <c r="AG17" s="15">
        <f t="shared" si="0"/>
        <v>0</v>
      </c>
      <c r="AH17" s="15">
        <f t="shared" si="0"/>
        <v>0</v>
      </c>
      <c r="AI17" s="15">
        <f t="shared" si="0"/>
        <v>0</v>
      </c>
      <c r="AJ17" s="15">
        <f t="shared" si="0"/>
        <v>0</v>
      </c>
      <c r="AK17" s="15">
        <f t="shared" si="0"/>
        <v>0</v>
      </c>
      <c r="AL17" s="15">
        <f t="shared" si="0"/>
        <v>0</v>
      </c>
      <c r="AM17" s="15">
        <f t="shared" si="0"/>
        <v>0</v>
      </c>
      <c r="AN17" s="15">
        <f t="shared" si="0"/>
        <v>0</v>
      </c>
      <c r="AO17" s="15">
        <f t="shared" si="0"/>
        <v>0</v>
      </c>
      <c r="AP17" s="15">
        <f t="shared" si="0"/>
        <v>0</v>
      </c>
      <c r="AQ17" s="15">
        <f t="shared" si="0"/>
        <v>0</v>
      </c>
      <c r="AR17" s="15">
        <f t="shared" si="0"/>
        <v>0</v>
      </c>
      <c r="AS17" s="15">
        <f t="shared" si="0"/>
        <v>0</v>
      </c>
      <c r="AT17" s="15">
        <f t="shared" si="0"/>
        <v>0</v>
      </c>
      <c r="AU17" s="15">
        <f t="shared" si="0"/>
        <v>0</v>
      </c>
      <c r="AV17" s="15">
        <f t="shared" si="0"/>
        <v>0</v>
      </c>
      <c r="AW17" s="15">
        <f t="shared" si="0"/>
        <v>0</v>
      </c>
      <c r="AX17" s="15">
        <f t="shared" si="0"/>
        <v>0</v>
      </c>
      <c r="AY17" s="15">
        <f t="shared" si="0"/>
        <v>0</v>
      </c>
      <c r="AZ17" s="15">
        <f t="shared" si="0"/>
        <v>0</v>
      </c>
      <c r="BA17" s="15">
        <f t="shared" si="0"/>
        <v>0</v>
      </c>
      <c r="BB17" s="15">
        <f t="shared" si="0"/>
        <v>0</v>
      </c>
    </row>
    <row r="18" spans="2:54" ht="16.5" x14ac:dyDescent="0.3">
      <c r="B18" s="17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</row>
    <row r="19" spans="2:54" ht="16.5" x14ac:dyDescent="0.3">
      <c r="B19" s="17"/>
      <c r="C19" s="18" t="s">
        <v>16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</row>
    <row r="20" spans="2:54" ht="16.5" x14ac:dyDescent="0.3">
      <c r="B20" s="17"/>
      <c r="C20" s="14" t="s">
        <v>17</v>
      </c>
      <c r="D20" s="15">
        <f>SUMIFS(PrdAdActif!$M:$M,PrdAdActif!$B:$B,adProjChocS2,PrdAdActif!$C:$C,adProjScenario,PrdAdActif!$F:$F,adProjCdCanton,PrdAdActif!$G:$G,"OBLIGATION",PrdAdActif!$D:$D,adProjIteration,PrdAdActif!$I:$I,"1.Perf")</f>
        <v>0</v>
      </c>
      <c r="E20" s="15">
        <f>SUMIFS(PrdAdActif!$M:$M,PrdAdActif!$B:$B,adProjChocS2,PrdAdActif!$C:$C,adProjScenario,PrdAdActif!$F:$F,adProjCdCanton,PrdAdActif!$G:$G,"OBLIGATION",PrdAdActif!$D:$D,adProjIteration,PrdAdActif!$I:$I,"1.Perf")</f>
        <v>0</v>
      </c>
      <c r="F20" s="15">
        <f>SUMIFS(PrdAdActif!$M:$M,PrdAdActif!$B:$B,adProjChocS2,PrdAdActif!$C:$C,adProjScenario,PrdAdActif!$F:$F,adProjCdCanton,PrdAdActif!$G:$G,"OBLIGATION",PrdAdActif!$D:$D,adProjIteration,PrdAdActif!$I:$I,"1.Perf")</f>
        <v>0</v>
      </c>
      <c r="G20" s="15">
        <f>SUMIFS(PrdAdActif!$M:$M,PrdAdActif!$B:$B,adProjChocS2,PrdAdActif!$C:$C,adProjScenario,PrdAdActif!$F:$F,adProjCdCanton,PrdAdActif!$G:$G,"OBLIGATION",PrdAdActif!$D:$D,adProjIteration,PrdAdActif!$I:$I,"1.Perf")</f>
        <v>0</v>
      </c>
      <c r="H20" s="15">
        <f>SUMIFS(PrdAdActif!$M:$M,PrdAdActif!$B:$B,adProjChocS2,PrdAdActif!$C:$C,adProjScenario,PrdAdActif!$F:$F,adProjCdCanton,PrdAdActif!$G:$G,"OBLIGATION",PrdAdActif!$D:$D,adProjIteration,PrdAdActif!$I:$I,"1.Perf")</f>
        <v>0</v>
      </c>
      <c r="I20" s="15">
        <f>SUMIFS(PrdAdActif!$M:$M,PrdAdActif!$B:$B,adProjChocS2,PrdAdActif!$C:$C,adProjScenario,PrdAdActif!$F:$F,adProjCdCanton,PrdAdActif!$G:$G,"OBLIGATION",PrdAdActif!$D:$D,adProjIteration,PrdAdActif!$I:$I,"1.Perf")</f>
        <v>0</v>
      </c>
      <c r="J20" s="15">
        <f>SUMIFS(PrdAdActif!$M:$M,PrdAdActif!$B:$B,adProjChocS2,PrdAdActif!$C:$C,adProjScenario,PrdAdActif!$F:$F,adProjCdCanton,PrdAdActif!$G:$G,"OBLIGATION",PrdAdActif!$D:$D,adProjIteration,PrdAdActif!$I:$I,"1.Perf")</f>
        <v>0</v>
      </c>
      <c r="K20" s="15">
        <f>SUMIFS(PrdAdActif!$M:$M,PrdAdActif!$B:$B,adProjChocS2,PrdAdActif!$C:$C,adProjScenario,PrdAdActif!$F:$F,adProjCdCanton,PrdAdActif!$G:$G,"OBLIGATION",PrdAdActif!$D:$D,adProjIteration,PrdAdActif!$I:$I,"1.Perf")</f>
        <v>0</v>
      </c>
      <c r="L20" s="15">
        <f>SUMIFS(PrdAdActif!$M:$M,PrdAdActif!$B:$B,adProjChocS2,PrdAdActif!$C:$C,adProjScenario,PrdAdActif!$F:$F,adProjCdCanton,PrdAdActif!$G:$G,"OBLIGATION",PrdAdActif!$D:$D,adProjIteration,PrdAdActif!$I:$I,"1.Perf")</f>
        <v>0</v>
      </c>
      <c r="M20" s="15">
        <f>SUMIFS(PrdAdActif!$M:$M,PrdAdActif!$B:$B,adProjChocS2,PrdAdActif!$C:$C,adProjScenario,PrdAdActif!$F:$F,adProjCdCanton,PrdAdActif!$G:$G,"OBLIGATION",PrdAdActif!$D:$D,adProjIteration,PrdAdActif!$I:$I,"1.Perf")</f>
        <v>0</v>
      </c>
      <c r="N20" s="15">
        <f>SUMIFS(PrdAdActif!$M:$M,PrdAdActif!$B:$B,adProjChocS2,PrdAdActif!$C:$C,adProjScenario,PrdAdActif!$F:$F,adProjCdCanton,PrdAdActif!$G:$G,"OBLIGATION",PrdAdActif!$D:$D,adProjIteration,PrdAdActif!$I:$I,"1.Perf")</f>
        <v>0</v>
      </c>
      <c r="O20" s="15">
        <f>SUMIFS(PrdAdActif!$M:$M,PrdAdActif!$B:$B,adProjChocS2,PrdAdActif!$C:$C,adProjScenario,PrdAdActif!$F:$F,adProjCdCanton,PrdAdActif!$G:$G,"OBLIGATION",PrdAdActif!$D:$D,adProjIteration,PrdAdActif!$I:$I,"1.Perf")</f>
        <v>0</v>
      </c>
      <c r="P20" s="15">
        <f>SUMIFS(PrdAdActif!$M:$M,PrdAdActif!$B:$B,adProjChocS2,PrdAdActif!$C:$C,adProjScenario,PrdAdActif!$F:$F,adProjCdCanton,PrdAdActif!$G:$G,"OBLIGATION",PrdAdActif!$D:$D,adProjIteration,PrdAdActif!$I:$I,"1.Perf")</f>
        <v>0</v>
      </c>
      <c r="Q20" s="15">
        <f>SUMIFS(PrdAdActif!$M:$M,PrdAdActif!$B:$B,adProjChocS2,PrdAdActif!$C:$C,adProjScenario,PrdAdActif!$F:$F,adProjCdCanton,PrdAdActif!$G:$G,"OBLIGATION",PrdAdActif!$D:$D,adProjIteration,PrdAdActif!$I:$I,"1.Perf")</f>
        <v>0</v>
      </c>
      <c r="R20" s="15">
        <f>SUMIFS(PrdAdActif!$M:$M,PrdAdActif!$B:$B,adProjChocS2,PrdAdActif!$C:$C,adProjScenario,PrdAdActif!$F:$F,adProjCdCanton,PrdAdActif!$G:$G,"OBLIGATION",PrdAdActif!$D:$D,adProjIteration,PrdAdActif!$I:$I,"1.Perf")</f>
        <v>0</v>
      </c>
      <c r="S20" s="15">
        <f>SUMIFS(PrdAdActif!$M:$M,PrdAdActif!$B:$B,adProjChocS2,PrdAdActif!$C:$C,adProjScenario,PrdAdActif!$F:$F,adProjCdCanton,PrdAdActif!$G:$G,"OBLIGATION",PrdAdActif!$D:$D,adProjIteration,PrdAdActif!$I:$I,"1.Perf")</f>
        <v>0</v>
      </c>
      <c r="T20" s="15">
        <f>SUMIFS(PrdAdActif!$M:$M,PrdAdActif!$B:$B,adProjChocS2,PrdAdActif!$C:$C,adProjScenario,PrdAdActif!$F:$F,adProjCdCanton,PrdAdActif!$G:$G,"OBLIGATION",PrdAdActif!$D:$D,adProjIteration,PrdAdActif!$I:$I,"1.Perf")</f>
        <v>0</v>
      </c>
      <c r="U20" s="15">
        <f>SUMIFS(PrdAdActif!$M:$M,PrdAdActif!$B:$B,adProjChocS2,PrdAdActif!$C:$C,adProjScenario,PrdAdActif!$F:$F,adProjCdCanton,PrdAdActif!$G:$G,"OBLIGATION",PrdAdActif!$D:$D,adProjIteration,PrdAdActif!$I:$I,"1.Perf")</f>
        <v>0</v>
      </c>
      <c r="V20" s="15">
        <f>SUMIFS(PrdAdActif!$M:$M,PrdAdActif!$B:$B,adProjChocS2,PrdAdActif!$C:$C,adProjScenario,PrdAdActif!$F:$F,adProjCdCanton,PrdAdActif!$G:$G,"OBLIGATION",PrdAdActif!$D:$D,adProjIteration,PrdAdActif!$I:$I,"1.Perf")</f>
        <v>0</v>
      </c>
      <c r="W20" s="15">
        <f>SUMIFS(PrdAdActif!$M:$M,PrdAdActif!$B:$B,adProjChocS2,PrdAdActif!$C:$C,adProjScenario,PrdAdActif!$F:$F,adProjCdCanton,PrdAdActif!$G:$G,"OBLIGATION",PrdAdActif!$D:$D,adProjIteration,PrdAdActif!$I:$I,"1.Perf")</f>
        <v>0</v>
      </c>
      <c r="X20" s="15">
        <f>SUMIFS(PrdAdActif!$M:$M,PrdAdActif!$B:$B,adProjChocS2,PrdAdActif!$C:$C,adProjScenario,PrdAdActif!$F:$F,adProjCdCanton,PrdAdActif!$G:$G,"OBLIGATION",PrdAdActif!$D:$D,adProjIteration,PrdAdActif!$I:$I,"1.Perf")</f>
        <v>0</v>
      </c>
      <c r="Y20" s="15">
        <f>SUMIFS(PrdAdActif!$M:$M,PrdAdActif!$B:$B,adProjChocS2,PrdAdActif!$C:$C,adProjScenario,PrdAdActif!$F:$F,adProjCdCanton,PrdAdActif!$G:$G,"OBLIGATION",PrdAdActif!$D:$D,adProjIteration,PrdAdActif!$I:$I,"1.Perf")</f>
        <v>0</v>
      </c>
      <c r="Z20" s="15">
        <f>SUMIFS(PrdAdActif!$M:$M,PrdAdActif!$B:$B,adProjChocS2,PrdAdActif!$C:$C,adProjScenario,PrdAdActif!$F:$F,adProjCdCanton,PrdAdActif!$G:$G,"OBLIGATION",PrdAdActif!$D:$D,adProjIteration,PrdAdActif!$I:$I,"1.Perf")</f>
        <v>0</v>
      </c>
      <c r="AA20" s="15">
        <f>SUMIFS(PrdAdActif!$M:$M,PrdAdActif!$B:$B,adProjChocS2,PrdAdActif!$C:$C,adProjScenario,PrdAdActif!$F:$F,adProjCdCanton,PrdAdActif!$G:$G,"OBLIGATION",PrdAdActif!$D:$D,adProjIteration,PrdAdActif!$I:$I,"1.Perf")</f>
        <v>0</v>
      </c>
      <c r="AB20" s="15">
        <f>SUMIFS(PrdAdActif!$M:$M,PrdAdActif!$B:$B,adProjChocS2,PrdAdActif!$C:$C,adProjScenario,PrdAdActif!$F:$F,adProjCdCanton,PrdAdActif!$G:$G,"OBLIGATION",PrdAdActif!$D:$D,adProjIteration,PrdAdActif!$I:$I,"1.Perf")</f>
        <v>0</v>
      </c>
      <c r="AC20" s="15">
        <f>SUMIFS(PrdAdActif!$M:$M,PrdAdActif!$B:$B,adProjChocS2,PrdAdActif!$C:$C,adProjScenario,PrdAdActif!$F:$F,adProjCdCanton,PrdAdActif!$G:$G,"OBLIGATION",PrdAdActif!$D:$D,adProjIteration,PrdAdActif!$I:$I,"1.Perf")</f>
        <v>0</v>
      </c>
      <c r="AD20" s="15">
        <f>SUMIFS(PrdAdActif!$M:$M,PrdAdActif!$B:$B,adProjChocS2,PrdAdActif!$C:$C,adProjScenario,PrdAdActif!$F:$F,adProjCdCanton,PrdAdActif!$G:$G,"OBLIGATION",PrdAdActif!$D:$D,adProjIteration,PrdAdActif!$I:$I,"1.Perf")</f>
        <v>0</v>
      </c>
      <c r="AE20" s="15">
        <f>SUMIFS(PrdAdActif!$M:$M,PrdAdActif!$B:$B,adProjChocS2,PrdAdActif!$C:$C,adProjScenario,PrdAdActif!$F:$F,adProjCdCanton,PrdAdActif!$G:$G,"OBLIGATION",PrdAdActif!$D:$D,adProjIteration,PrdAdActif!$I:$I,"1.Perf")</f>
        <v>0</v>
      </c>
      <c r="AF20" s="15">
        <f>SUMIFS(PrdAdActif!$M:$M,PrdAdActif!$B:$B,adProjChocS2,PrdAdActif!$C:$C,adProjScenario,PrdAdActif!$F:$F,adProjCdCanton,PrdAdActif!$G:$G,"OBLIGATION",PrdAdActif!$D:$D,adProjIteration,PrdAdActif!$I:$I,"1.Perf")</f>
        <v>0</v>
      </c>
      <c r="AG20" s="15">
        <f>SUMIFS(PrdAdActif!$M:$M,PrdAdActif!$B:$B,adProjChocS2,PrdAdActif!$C:$C,adProjScenario,PrdAdActif!$F:$F,adProjCdCanton,PrdAdActif!$G:$G,"OBLIGATION",PrdAdActif!$D:$D,adProjIteration,PrdAdActif!$I:$I,"1.Perf")</f>
        <v>0</v>
      </c>
      <c r="AH20" s="15">
        <f>SUMIFS(PrdAdActif!$M:$M,PrdAdActif!$B:$B,adProjChocS2,PrdAdActif!$C:$C,adProjScenario,PrdAdActif!$F:$F,adProjCdCanton,PrdAdActif!$G:$G,"OBLIGATION",PrdAdActif!$D:$D,adProjIteration,PrdAdActif!$I:$I,"1.Perf")</f>
        <v>0</v>
      </c>
      <c r="AI20" s="15">
        <f>SUMIFS(PrdAdActif!$M:$M,PrdAdActif!$B:$B,adProjChocS2,PrdAdActif!$C:$C,adProjScenario,PrdAdActif!$F:$F,adProjCdCanton,PrdAdActif!$G:$G,"OBLIGATION",PrdAdActif!$D:$D,adProjIteration,PrdAdActif!$I:$I,"1.Perf")</f>
        <v>0</v>
      </c>
      <c r="AJ20" s="15">
        <f>SUMIFS(PrdAdActif!$M:$M,PrdAdActif!$B:$B,adProjChocS2,PrdAdActif!$C:$C,adProjScenario,PrdAdActif!$F:$F,adProjCdCanton,PrdAdActif!$G:$G,"OBLIGATION",PrdAdActif!$D:$D,adProjIteration,PrdAdActif!$I:$I,"1.Perf")</f>
        <v>0</v>
      </c>
      <c r="AK20" s="15">
        <f>SUMIFS(PrdAdActif!$M:$M,PrdAdActif!$B:$B,adProjChocS2,PrdAdActif!$C:$C,adProjScenario,PrdAdActif!$F:$F,adProjCdCanton,PrdAdActif!$G:$G,"OBLIGATION",PrdAdActif!$D:$D,adProjIteration,PrdAdActif!$I:$I,"1.Perf")</f>
        <v>0</v>
      </c>
      <c r="AL20" s="15">
        <f>SUMIFS(PrdAdActif!$M:$M,PrdAdActif!$B:$B,adProjChocS2,PrdAdActif!$C:$C,adProjScenario,PrdAdActif!$F:$F,adProjCdCanton,PrdAdActif!$G:$G,"OBLIGATION",PrdAdActif!$D:$D,adProjIteration,PrdAdActif!$I:$I,"1.Perf")</f>
        <v>0</v>
      </c>
      <c r="AM20" s="15">
        <f>SUMIFS(PrdAdActif!$M:$M,PrdAdActif!$B:$B,adProjChocS2,PrdAdActif!$C:$C,adProjScenario,PrdAdActif!$F:$F,adProjCdCanton,PrdAdActif!$G:$G,"OBLIGATION",PrdAdActif!$D:$D,adProjIteration,PrdAdActif!$I:$I,"1.Perf")</f>
        <v>0</v>
      </c>
      <c r="AN20" s="15">
        <f>SUMIFS(PrdAdActif!$M:$M,PrdAdActif!$B:$B,adProjChocS2,PrdAdActif!$C:$C,adProjScenario,PrdAdActif!$F:$F,adProjCdCanton,PrdAdActif!$G:$G,"OBLIGATION",PrdAdActif!$D:$D,adProjIteration,PrdAdActif!$I:$I,"1.Perf")</f>
        <v>0</v>
      </c>
      <c r="AO20" s="15">
        <f>SUMIFS(PrdAdActif!$M:$M,PrdAdActif!$B:$B,adProjChocS2,PrdAdActif!$C:$C,adProjScenario,PrdAdActif!$F:$F,adProjCdCanton,PrdAdActif!$G:$G,"OBLIGATION",PrdAdActif!$D:$D,adProjIteration,PrdAdActif!$I:$I,"1.Perf")</f>
        <v>0</v>
      </c>
      <c r="AP20" s="15">
        <f>SUMIFS(PrdAdActif!$M:$M,PrdAdActif!$B:$B,adProjChocS2,PrdAdActif!$C:$C,adProjScenario,PrdAdActif!$F:$F,adProjCdCanton,PrdAdActif!$G:$G,"OBLIGATION",PrdAdActif!$D:$D,adProjIteration,PrdAdActif!$I:$I,"1.Perf")</f>
        <v>0</v>
      </c>
      <c r="AQ20" s="15">
        <f>SUMIFS(PrdAdActif!$M:$M,PrdAdActif!$B:$B,adProjChocS2,PrdAdActif!$C:$C,adProjScenario,PrdAdActif!$F:$F,adProjCdCanton,PrdAdActif!$G:$G,"OBLIGATION",PrdAdActif!$D:$D,adProjIteration,PrdAdActif!$I:$I,"1.Perf")</f>
        <v>0</v>
      </c>
      <c r="AR20" s="15">
        <f>SUMIFS(PrdAdActif!$M:$M,PrdAdActif!$B:$B,adProjChocS2,PrdAdActif!$C:$C,adProjScenario,PrdAdActif!$F:$F,adProjCdCanton,PrdAdActif!$G:$G,"OBLIGATION",PrdAdActif!$D:$D,adProjIteration,PrdAdActif!$I:$I,"1.Perf")</f>
        <v>0</v>
      </c>
      <c r="AS20" s="15">
        <f>SUMIFS(PrdAdActif!$M:$M,PrdAdActif!$B:$B,adProjChocS2,PrdAdActif!$C:$C,adProjScenario,PrdAdActif!$F:$F,adProjCdCanton,PrdAdActif!$G:$G,"OBLIGATION",PrdAdActif!$D:$D,adProjIteration,PrdAdActif!$I:$I,"1.Perf")</f>
        <v>0</v>
      </c>
      <c r="AT20" s="15">
        <f>SUMIFS(PrdAdActif!$M:$M,PrdAdActif!$B:$B,adProjChocS2,PrdAdActif!$C:$C,adProjScenario,PrdAdActif!$F:$F,adProjCdCanton,PrdAdActif!$G:$G,"OBLIGATION",PrdAdActif!$D:$D,adProjIteration,PrdAdActif!$I:$I,"1.Perf")</f>
        <v>0</v>
      </c>
      <c r="AU20" s="15">
        <f>SUMIFS(PrdAdActif!$M:$M,PrdAdActif!$B:$B,adProjChocS2,PrdAdActif!$C:$C,adProjScenario,PrdAdActif!$F:$F,adProjCdCanton,PrdAdActif!$G:$G,"OBLIGATION",PrdAdActif!$D:$D,adProjIteration,PrdAdActif!$I:$I,"1.Perf")</f>
        <v>0</v>
      </c>
      <c r="AV20" s="15">
        <f>SUMIFS(PrdAdActif!$M:$M,PrdAdActif!$B:$B,adProjChocS2,PrdAdActif!$C:$C,adProjScenario,PrdAdActif!$F:$F,adProjCdCanton,PrdAdActif!$G:$G,"OBLIGATION",PrdAdActif!$D:$D,adProjIteration,PrdAdActif!$I:$I,"1.Perf")</f>
        <v>0</v>
      </c>
      <c r="AW20" s="15">
        <f>SUMIFS(PrdAdActif!$M:$M,PrdAdActif!$B:$B,adProjChocS2,PrdAdActif!$C:$C,adProjScenario,PrdAdActif!$F:$F,adProjCdCanton,PrdAdActif!$G:$G,"OBLIGATION",PrdAdActif!$D:$D,adProjIteration,PrdAdActif!$I:$I,"1.Perf")</f>
        <v>0</v>
      </c>
      <c r="AX20" s="15">
        <f>SUMIFS(PrdAdActif!$M:$M,PrdAdActif!$B:$B,adProjChocS2,PrdAdActif!$C:$C,adProjScenario,PrdAdActif!$F:$F,adProjCdCanton,PrdAdActif!$G:$G,"OBLIGATION",PrdAdActif!$D:$D,adProjIteration,PrdAdActif!$I:$I,"1.Perf")</f>
        <v>0</v>
      </c>
      <c r="AY20" s="15">
        <f>SUMIFS(PrdAdActif!$M:$M,PrdAdActif!$B:$B,adProjChocS2,PrdAdActif!$C:$C,adProjScenario,PrdAdActif!$F:$F,adProjCdCanton,PrdAdActif!$G:$G,"OBLIGATION",PrdAdActif!$D:$D,adProjIteration,PrdAdActif!$I:$I,"1.Perf")</f>
        <v>0</v>
      </c>
      <c r="AZ20" s="15">
        <f>SUMIFS(PrdAdActif!$M:$M,PrdAdActif!$B:$B,adProjChocS2,PrdAdActif!$C:$C,adProjScenario,PrdAdActif!$F:$F,adProjCdCanton,PrdAdActif!$G:$G,"OBLIGATION",PrdAdActif!$D:$D,adProjIteration,PrdAdActif!$I:$I,"1.Perf")</f>
        <v>0</v>
      </c>
      <c r="BA20" s="15">
        <f>SUMIFS(PrdAdActif!$M:$M,PrdAdActif!$B:$B,adProjChocS2,PrdAdActif!$C:$C,adProjScenario,PrdAdActif!$F:$F,adProjCdCanton,PrdAdActif!$G:$G,"OBLIGATION",PrdAdActif!$D:$D,adProjIteration,PrdAdActif!$I:$I,"1.Perf")</f>
        <v>0</v>
      </c>
      <c r="BB20" s="15">
        <f>SUMIFS(PrdAdActif!$M:$M,PrdAdActif!$B:$B,adProjChocS2,PrdAdActif!$C:$C,adProjScenario,PrdAdActif!$F:$F,adProjCdCanton,PrdAdActif!$G:$G,"OBLIGATION",PrdAdActif!$D:$D,adProjIteration,PrdAdActif!$I:$I,"1.Perf")</f>
        <v>0</v>
      </c>
    </row>
    <row r="21" spans="2:54" ht="16.5" x14ac:dyDescent="0.3">
      <c r="B21" s="17"/>
      <c r="C21" s="14" t="s">
        <v>18</v>
      </c>
      <c r="D21" s="15">
        <f>SUMIFS(PrdAdActif!$M:$M,PrdAdActif!$B:$B,adProjChocS2,PrdAdActif!$C:$C,adProjScenario,PrdAdActif!$F:$F,adProjCdCanton,PrdAdActif!$G:$G,"IMMOBILIER",PrdAdActif!$D:$D,adProjIteration,PrdAdActif!$I:$I,"1.Perf")</f>
        <v>0</v>
      </c>
      <c r="E21" s="15">
        <f>SUMIFS(PrdAdActif!$M:$M,PrdAdActif!$B:$B,adProjChocS2,PrdAdActif!$C:$C,adProjScenario,PrdAdActif!$F:$F,adProjCdCanton,PrdAdActif!$G:$G,"IMMOBILIER",PrdAdActif!$D:$D,adProjIteration,PrdAdActif!$I:$I,"1.Perf")</f>
        <v>0</v>
      </c>
      <c r="F21" s="15">
        <f>SUMIFS(PrdAdActif!$M:$M,PrdAdActif!$B:$B,adProjChocS2,PrdAdActif!$C:$C,adProjScenario,PrdAdActif!$F:$F,adProjCdCanton,PrdAdActif!$G:$G,"IMMOBILIER",PrdAdActif!$D:$D,adProjIteration,PrdAdActif!$I:$I,"1.Perf")</f>
        <v>0</v>
      </c>
      <c r="G21" s="15">
        <f>SUMIFS(PrdAdActif!$M:$M,PrdAdActif!$B:$B,adProjChocS2,PrdAdActif!$C:$C,adProjScenario,PrdAdActif!$F:$F,adProjCdCanton,PrdAdActif!$G:$G,"IMMOBILIER",PrdAdActif!$D:$D,adProjIteration,PrdAdActif!$I:$I,"1.Perf")</f>
        <v>0</v>
      </c>
      <c r="H21" s="15">
        <f>SUMIFS(PrdAdActif!$M:$M,PrdAdActif!$B:$B,adProjChocS2,PrdAdActif!$C:$C,adProjScenario,PrdAdActif!$F:$F,adProjCdCanton,PrdAdActif!$G:$G,"IMMOBILIER",PrdAdActif!$D:$D,adProjIteration,PrdAdActif!$I:$I,"1.Perf")</f>
        <v>0</v>
      </c>
      <c r="I21" s="15">
        <f>SUMIFS(PrdAdActif!$M:$M,PrdAdActif!$B:$B,adProjChocS2,PrdAdActif!$C:$C,adProjScenario,PrdAdActif!$F:$F,adProjCdCanton,PrdAdActif!$G:$G,"IMMOBILIER",PrdAdActif!$D:$D,adProjIteration,PrdAdActif!$I:$I,"1.Perf")</f>
        <v>0</v>
      </c>
      <c r="J21" s="15">
        <f>SUMIFS(PrdAdActif!$M:$M,PrdAdActif!$B:$B,adProjChocS2,PrdAdActif!$C:$C,adProjScenario,PrdAdActif!$F:$F,adProjCdCanton,PrdAdActif!$G:$G,"IMMOBILIER",PrdAdActif!$D:$D,adProjIteration,PrdAdActif!$I:$I,"1.Perf")</f>
        <v>0</v>
      </c>
      <c r="K21" s="15">
        <f>SUMIFS(PrdAdActif!$M:$M,PrdAdActif!$B:$B,adProjChocS2,PrdAdActif!$C:$C,adProjScenario,PrdAdActif!$F:$F,adProjCdCanton,PrdAdActif!$G:$G,"IMMOBILIER",PrdAdActif!$D:$D,adProjIteration,PrdAdActif!$I:$I,"1.Perf")</f>
        <v>0</v>
      </c>
      <c r="L21" s="15">
        <f>SUMIFS(PrdAdActif!$M:$M,PrdAdActif!$B:$B,adProjChocS2,PrdAdActif!$C:$C,adProjScenario,PrdAdActif!$F:$F,adProjCdCanton,PrdAdActif!$G:$G,"IMMOBILIER",PrdAdActif!$D:$D,adProjIteration,PrdAdActif!$I:$I,"1.Perf")</f>
        <v>0</v>
      </c>
      <c r="M21" s="15">
        <f>SUMIFS(PrdAdActif!$M:$M,PrdAdActif!$B:$B,adProjChocS2,PrdAdActif!$C:$C,adProjScenario,PrdAdActif!$F:$F,adProjCdCanton,PrdAdActif!$G:$G,"IMMOBILIER",PrdAdActif!$D:$D,adProjIteration,PrdAdActif!$I:$I,"1.Perf")</f>
        <v>0</v>
      </c>
      <c r="N21" s="15">
        <f>SUMIFS(PrdAdActif!$M:$M,PrdAdActif!$B:$B,adProjChocS2,PrdAdActif!$C:$C,adProjScenario,PrdAdActif!$F:$F,adProjCdCanton,PrdAdActif!$G:$G,"IMMOBILIER",PrdAdActif!$D:$D,adProjIteration,PrdAdActif!$I:$I,"1.Perf")</f>
        <v>0</v>
      </c>
      <c r="O21" s="15">
        <f>SUMIFS(PrdAdActif!$M:$M,PrdAdActif!$B:$B,adProjChocS2,PrdAdActif!$C:$C,adProjScenario,PrdAdActif!$F:$F,adProjCdCanton,PrdAdActif!$G:$G,"IMMOBILIER",PrdAdActif!$D:$D,adProjIteration,PrdAdActif!$I:$I,"1.Perf")</f>
        <v>0</v>
      </c>
      <c r="P21" s="15">
        <f>SUMIFS(PrdAdActif!$M:$M,PrdAdActif!$B:$B,adProjChocS2,PrdAdActif!$C:$C,adProjScenario,PrdAdActif!$F:$F,adProjCdCanton,PrdAdActif!$G:$G,"IMMOBILIER",PrdAdActif!$D:$D,adProjIteration,PrdAdActif!$I:$I,"1.Perf")</f>
        <v>0</v>
      </c>
      <c r="Q21" s="15">
        <f>SUMIFS(PrdAdActif!$M:$M,PrdAdActif!$B:$B,adProjChocS2,PrdAdActif!$C:$C,adProjScenario,PrdAdActif!$F:$F,adProjCdCanton,PrdAdActif!$G:$G,"IMMOBILIER",PrdAdActif!$D:$D,adProjIteration,PrdAdActif!$I:$I,"1.Perf")</f>
        <v>0</v>
      </c>
      <c r="R21" s="15">
        <f>SUMIFS(PrdAdActif!$M:$M,PrdAdActif!$B:$B,adProjChocS2,PrdAdActif!$C:$C,adProjScenario,PrdAdActif!$F:$F,adProjCdCanton,PrdAdActif!$G:$G,"IMMOBILIER",PrdAdActif!$D:$D,adProjIteration,PrdAdActif!$I:$I,"1.Perf")</f>
        <v>0</v>
      </c>
      <c r="S21" s="15">
        <f>SUMIFS(PrdAdActif!$M:$M,PrdAdActif!$B:$B,adProjChocS2,PrdAdActif!$C:$C,adProjScenario,PrdAdActif!$F:$F,adProjCdCanton,PrdAdActif!$G:$G,"IMMOBILIER",PrdAdActif!$D:$D,adProjIteration,PrdAdActif!$I:$I,"1.Perf")</f>
        <v>0</v>
      </c>
      <c r="T21" s="15">
        <f>SUMIFS(PrdAdActif!$M:$M,PrdAdActif!$B:$B,adProjChocS2,PrdAdActif!$C:$C,adProjScenario,PrdAdActif!$F:$F,adProjCdCanton,PrdAdActif!$G:$G,"IMMOBILIER",PrdAdActif!$D:$D,adProjIteration,PrdAdActif!$I:$I,"1.Perf")</f>
        <v>0</v>
      </c>
      <c r="U21" s="15">
        <f>SUMIFS(PrdAdActif!$M:$M,PrdAdActif!$B:$B,adProjChocS2,PrdAdActif!$C:$C,adProjScenario,PrdAdActif!$F:$F,adProjCdCanton,PrdAdActif!$G:$G,"IMMOBILIER",PrdAdActif!$D:$D,adProjIteration,PrdAdActif!$I:$I,"1.Perf")</f>
        <v>0</v>
      </c>
      <c r="V21" s="15">
        <f>SUMIFS(PrdAdActif!$M:$M,PrdAdActif!$B:$B,adProjChocS2,PrdAdActif!$C:$C,adProjScenario,PrdAdActif!$F:$F,adProjCdCanton,PrdAdActif!$G:$G,"IMMOBILIER",PrdAdActif!$D:$D,adProjIteration,PrdAdActif!$I:$I,"1.Perf")</f>
        <v>0</v>
      </c>
      <c r="W21" s="15">
        <f>SUMIFS(PrdAdActif!$M:$M,PrdAdActif!$B:$B,adProjChocS2,PrdAdActif!$C:$C,adProjScenario,PrdAdActif!$F:$F,adProjCdCanton,PrdAdActif!$G:$G,"IMMOBILIER",PrdAdActif!$D:$D,adProjIteration,PrdAdActif!$I:$I,"1.Perf")</f>
        <v>0</v>
      </c>
      <c r="X21" s="15">
        <f>SUMIFS(PrdAdActif!$M:$M,PrdAdActif!$B:$B,adProjChocS2,PrdAdActif!$C:$C,adProjScenario,PrdAdActif!$F:$F,adProjCdCanton,PrdAdActif!$G:$G,"IMMOBILIER",PrdAdActif!$D:$D,adProjIteration,PrdAdActif!$I:$I,"1.Perf")</f>
        <v>0</v>
      </c>
      <c r="Y21" s="15">
        <f>SUMIFS(PrdAdActif!$M:$M,PrdAdActif!$B:$B,adProjChocS2,PrdAdActif!$C:$C,adProjScenario,PrdAdActif!$F:$F,adProjCdCanton,PrdAdActif!$G:$G,"IMMOBILIER",PrdAdActif!$D:$D,adProjIteration,PrdAdActif!$I:$I,"1.Perf")</f>
        <v>0</v>
      </c>
      <c r="Z21" s="15">
        <f>SUMIFS(PrdAdActif!$M:$M,PrdAdActif!$B:$B,adProjChocS2,PrdAdActif!$C:$C,adProjScenario,PrdAdActif!$F:$F,adProjCdCanton,PrdAdActif!$G:$G,"IMMOBILIER",PrdAdActif!$D:$D,adProjIteration,PrdAdActif!$I:$I,"1.Perf")</f>
        <v>0</v>
      </c>
      <c r="AA21" s="15">
        <f>SUMIFS(PrdAdActif!$M:$M,PrdAdActif!$B:$B,adProjChocS2,PrdAdActif!$C:$C,adProjScenario,PrdAdActif!$F:$F,adProjCdCanton,PrdAdActif!$G:$G,"IMMOBILIER",PrdAdActif!$D:$D,adProjIteration,PrdAdActif!$I:$I,"1.Perf")</f>
        <v>0</v>
      </c>
      <c r="AB21" s="15">
        <f>SUMIFS(PrdAdActif!$M:$M,PrdAdActif!$B:$B,adProjChocS2,PrdAdActif!$C:$C,adProjScenario,PrdAdActif!$F:$F,adProjCdCanton,PrdAdActif!$G:$G,"IMMOBILIER",PrdAdActif!$D:$D,adProjIteration,PrdAdActif!$I:$I,"1.Perf")</f>
        <v>0</v>
      </c>
      <c r="AC21" s="15">
        <f>SUMIFS(PrdAdActif!$M:$M,PrdAdActif!$B:$B,adProjChocS2,PrdAdActif!$C:$C,adProjScenario,PrdAdActif!$F:$F,adProjCdCanton,PrdAdActif!$G:$G,"IMMOBILIER",PrdAdActif!$D:$D,adProjIteration,PrdAdActif!$I:$I,"1.Perf")</f>
        <v>0</v>
      </c>
      <c r="AD21" s="15">
        <f>SUMIFS(PrdAdActif!$M:$M,PrdAdActif!$B:$B,adProjChocS2,PrdAdActif!$C:$C,adProjScenario,PrdAdActif!$F:$F,adProjCdCanton,PrdAdActif!$G:$G,"IMMOBILIER",PrdAdActif!$D:$D,adProjIteration,PrdAdActif!$I:$I,"1.Perf")</f>
        <v>0</v>
      </c>
      <c r="AE21" s="15">
        <f>SUMIFS(PrdAdActif!$M:$M,PrdAdActif!$B:$B,adProjChocS2,PrdAdActif!$C:$C,adProjScenario,PrdAdActif!$F:$F,adProjCdCanton,PrdAdActif!$G:$G,"IMMOBILIER",PrdAdActif!$D:$D,adProjIteration,PrdAdActif!$I:$I,"1.Perf")</f>
        <v>0</v>
      </c>
      <c r="AF21" s="15">
        <f>SUMIFS(PrdAdActif!$M:$M,PrdAdActif!$B:$B,adProjChocS2,PrdAdActif!$C:$C,adProjScenario,PrdAdActif!$F:$F,adProjCdCanton,PrdAdActif!$G:$G,"IMMOBILIER",PrdAdActif!$D:$D,adProjIteration,PrdAdActif!$I:$I,"1.Perf")</f>
        <v>0</v>
      </c>
      <c r="AG21" s="15">
        <f>SUMIFS(PrdAdActif!$M:$M,PrdAdActif!$B:$B,adProjChocS2,PrdAdActif!$C:$C,adProjScenario,PrdAdActif!$F:$F,adProjCdCanton,PrdAdActif!$G:$G,"IMMOBILIER",PrdAdActif!$D:$D,adProjIteration,PrdAdActif!$I:$I,"1.Perf")</f>
        <v>0</v>
      </c>
      <c r="AH21" s="15">
        <f>SUMIFS(PrdAdActif!$M:$M,PrdAdActif!$B:$B,adProjChocS2,PrdAdActif!$C:$C,adProjScenario,PrdAdActif!$F:$F,adProjCdCanton,PrdAdActif!$G:$G,"IMMOBILIER",PrdAdActif!$D:$D,adProjIteration,PrdAdActif!$I:$I,"1.Perf")</f>
        <v>0</v>
      </c>
      <c r="AI21" s="15">
        <f>SUMIFS(PrdAdActif!$M:$M,PrdAdActif!$B:$B,adProjChocS2,PrdAdActif!$C:$C,adProjScenario,PrdAdActif!$F:$F,adProjCdCanton,PrdAdActif!$G:$G,"IMMOBILIER",PrdAdActif!$D:$D,adProjIteration,PrdAdActif!$I:$I,"1.Perf")</f>
        <v>0</v>
      </c>
      <c r="AJ21" s="15">
        <f>SUMIFS(PrdAdActif!$M:$M,PrdAdActif!$B:$B,adProjChocS2,PrdAdActif!$C:$C,adProjScenario,PrdAdActif!$F:$F,adProjCdCanton,PrdAdActif!$G:$G,"IMMOBILIER",PrdAdActif!$D:$D,adProjIteration,PrdAdActif!$I:$I,"1.Perf")</f>
        <v>0</v>
      </c>
      <c r="AK21" s="15">
        <f>SUMIFS(PrdAdActif!$M:$M,PrdAdActif!$B:$B,adProjChocS2,PrdAdActif!$C:$C,adProjScenario,PrdAdActif!$F:$F,adProjCdCanton,PrdAdActif!$G:$G,"IMMOBILIER",PrdAdActif!$D:$D,adProjIteration,PrdAdActif!$I:$I,"1.Perf")</f>
        <v>0</v>
      </c>
      <c r="AL21" s="15">
        <f>SUMIFS(PrdAdActif!$M:$M,PrdAdActif!$B:$B,adProjChocS2,PrdAdActif!$C:$C,adProjScenario,PrdAdActif!$F:$F,adProjCdCanton,PrdAdActif!$G:$G,"IMMOBILIER",PrdAdActif!$D:$D,adProjIteration,PrdAdActif!$I:$I,"1.Perf")</f>
        <v>0</v>
      </c>
      <c r="AM21" s="15">
        <f>SUMIFS(PrdAdActif!$M:$M,PrdAdActif!$B:$B,adProjChocS2,PrdAdActif!$C:$C,adProjScenario,PrdAdActif!$F:$F,adProjCdCanton,PrdAdActif!$G:$G,"IMMOBILIER",PrdAdActif!$D:$D,adProjIteration,PrdAdActif!$I:$I,"1.Perf")</f>
        <v>0</v>
      </c>
      <c r="AN21" s="15">
        <f>SUMIFS(PrdAdActif!$M:$M,PrdAdActif!$B:$B,adProjChocS2,PrdAdActif!$C:$C,adProjScenario,PrdAdActif!$F:$F,adProjCdCanton,PrdAdActif!$G:$G,"IMMOBILIER",PrdAdActif!$D:$D,adProjIteration,PrdAdActif!$I:$I,"1.Perf")</f>
        <v>0</v>
      </c>
      <c r="AO21" s="15">
        <f>SUMIFS(PrdAdActif!$M:$M,PrdAdActif!$B:$B,adProjChocS2,PrdAdActif!$C:$C,adProjScenario,PrdAdActif!$F:$F,adProjCdCanton,PrdAdActif!$G:$G,"IMMOBILIER",PrdAdActif!$D:$D,adProjIteration,PrdAdActif!$I:$I,"1.Perf")</f>
        <v>0</v>
      </c>
      <c r="AP21" s="15">
        <f>SUMIFS(PrdAdActif!$M:$M,PrdAdActif!$B:$B,adProjChocS2,PrdAdActif!$C:$C,adProjScenario,PrdAdActif!$F:$F,adProjCdCanton,PrdAdActif!$G:$G,"IMMOBILIER",PrdAdActif!$D:$D,adProjIteration,PrdAdActif!$I:$I,"1.Perf")</f>
        <v>0</v>
      </c>
      <c r="AQ21" s="15">
        <f>SUMIFS(PrdAdActif!$M:$M,PrdAdActif!$B:$B,adProjChocS2,PrdAdActif!$C:$C,adProjScenario,PrdAdActif!$F:$F,adProjCdCanton,PrdAdActif!$G:$G,"IMMOBILIER",PrdAdActif!$D:$D,adProjIteration,PrdAdActif!$I:$I,"1.Perf")</f>
        <v>0</v>
      </c>
      <c r="AR21" s="15">
        <f>SUMIFS(PrdAdActif!$M:$M,PrdAdActif!$B:$B,adProjChocS2,PrdAdActif!$C:$C,adProjScenario,PrdAdActif!$F:$F,adProjCdCanton,PrdAdActif!$G:$G,"IMMOBILIER",PrdAdActif!$D:$D,adProjIteration,PrdAdActif!$I:$I,"1.Perf")</f>
        <v>0</v>
      </c>
      <c r="AS21" s="15">
        <f>SUMIFS(PrdAdActif!$M:$M,PrdAdActif!$B:$B,adProjChocS2,PrdAdActif!$C:$C,adProjScenario,PrdAdActif!$F:$F,adProjCdCanton,PrdAdActif!$G:$G,"IMMOBILIER",PrdAdActif!$D:$D,adProjIteration,PrdAdActif!$I:$I,"1.Perf")</f>
        <v>0</v>
      </c>
      <c r="AT21" s="15">
        <f>SUMIFS(PrdAdActif!$M:$M,PrdAdActif!$B:$B,adProjChocS2,PrdAdActif!$C:$C,adProjScenario,PrdAdActif!$F:$F,adProjCdCanton,PrdAdActif!$G:$G,"IMMOBILIER",PrdAdActif!$D:$D,adProjIteration,PrdAdActif!$I:$I,"1.Perf")</f>
        <v>0</v>
      </c>
      <c r="AU21" s="15">
        <f>SUMIFS(PrdAdActif!$M:$M,PrdAdActif!$B:$B,adProjChocS2,PrdAdActif!$C:$C,adProjScenario,PrdAdActif!$F:$F,adProjCdCanton,PrdAdActif!$G:$G,"IMMOBILIER",PrdAdActif!$D:$D,adProjIteration,PrdAdActif!$I:$I,"1.Perf")</f>
        <v>0</v>
      </c>
      <c r="AV21" s="15">
        <f>SUMIFS(PrdAdActif!$M:$M,PrdAdActif!$B:$B,adProjChocS2,PrdAdActif!$C:$C,adProjScenario,PrdAdActif!$F:$F,adProjCdCanton,PrdAdActif!$G:$G,"IMMOBILIER",PrdAdActif!$D:$D,adProjIteration,PrdAdActif!$I:$I,"1.Perf")</f>
        <v>0</v>
      </c>
      <c r="AW21" s="15">
        <f>SUMIFS(PrdAdActif!$M:$M,PrdAdActif!$B:$B,adProjChocS2,PrdAdActif!$C:$C,adProjScenario,PrdAdActif!$F:$F,adProjCdCanton,PrdAdActif!$G:$G,"IMMOBILIER",PrdAdActif!$D:$D,adProjIteration,PrdAdActif!$I:$I,"1.Perf")</f>
        <v>0</v>
      </c>
      <c r="AX21" s="15">
        <f>SUMIFS(PrdAdActif!$M:$M,PrdAdActif!$B:$B,adProjChocS2,PrdAdActif!$C:$C,adProjScenario,PrdAdActif!$F:$F,adProjCdCanton,PrdAdActif!$G:$G,"IMMOBILIER",PrdAdActif!$D:$D,adProjIteration,PrdAdActif!$I:$I,"1.Perf")</f>
        <v>0</v>
      </c>
      <c r="AY21" s="15">
        <f>SUMIFS(PrdAdActif!$M:$M,PrdAdActif!$B:$B,adProjChocS2,PrdAdActif!$C:$C,adProjScenario,PrdAdActif!$F:$F,adProjCdCanton,PrdAdActif!$G:$G,"IMMOBILIER",PrdAdActif!$D:$D,adProjIteration,PrdAdActif!$I:$I,"1.Perf")</f>
        <v>0</v>
      </c>
      <c r="AZ21" s="15">
        <f>SUMIFS(PrdAdActif!$M:$M,PrdAdActif!$B:$B,adProjChocS2,PrdAdActif!$C:$C,adProjScenario,PrdAdActif!$F:$F,adProjCdCanton,PrdAdActif!$G:$G,"IMMOBILIER",PrdAdActif!$D:$D,adProjIteration,PrdAdActif!$I:$I,"1.Perf")</f>
        <v>0</v>
      </c>
      <c r="BA21" s="15">
        <f>SUMIFS(PrdAdActif!$M:$M,PrdAdActif!$B:$B,adProjChocS2,PrdAdActif!$C:$C,adProjScenario,PrdAdActif!$F:$F,adProjCdCanton,PrdAdActif!$G:$G,"IMMOBILIER",PrdAdActif!$D:$D,adProjIteration,PrdAdActif!$I:$I,"1.Perf")</f>
        <v>0</v>
      </c>
      <c r="BB21" s="15">
        <f>SUMIFS(PrdAdActif!$M:$M,PrdAdActif!$B:$B,adProjChocS2,PrdAdActif!$C:$C,adProjScenario,PrdAdActif!$F:$F,adProjCdCanton,PrdAdActif!$G:$G,"IMMOBILIER",PrdAdActif!$D:$D,adProjIteration,PrdAdActif!$I:$I,"1.Perf")</f>
        <v>0</v>
      </c>
    </row>
    <row r="22" spans="2:54" ht="16.5" x14ac:dyDescent="0.3">
      <c r="B22" s="17"/>
      <c r="C22" s="14" t="s">
        <v>19</v>
      </c>
      <c r="D22" s="15">
        <f>SUMIFS(PrdAdActif!$M:$M,PrdAdActif!$B:$B,adProjChocS2,PrdAdActif!$C:$C,adProjScenario,PrdAdActif!$F:$F,adProjCdCanton,PrdAdActif!$G:$G,"ACTION",PrdAdActif!$D:$D,adProjIteration,PrdAdActif!$I:$I,"1.Perf")</f>
        <v>0</v>
      </c>
      <c r="E22" s="15">
        <f>SUMIFS(PrdAdActif!$M:$M,PrdAdActif!$B:$B,adProjChocS2,PrdAdActif!$C:$C,adProjScenario,PrdAdActif!$F:$F,adProjCdCanton,PrdAdActif!$G:$G,"ACTION",PrdAdActif!$D:$D,adProjIteration,PrdAdActif!$I:$I,"1.Perf")</f>
        <v>0</v>
      </c>
      <c r="F22" s="15">
        <f>SUMIFS(PrdAdActif!$M:$M,PrdAdActif!$B:$B,adProjChocS2,PrdAdActif!$C:$C,adProjScenario,PrdAdActif!$F:$F,adProjCdCanton,PrdAdActif!$G:$G,"ACTION",PrdAdActif!$D:$D,adProjIteration,PrdAdActif!$I:$I,"1.Perf")</f>
        <v>0</v>
      </c>
      <c r="G22" s="15">
        <f>SUMIFS(PrdAdActif!$M:$M,PrdAdActif!$B:$B,adProjChocS2,PrdAdActif!$C:$C,adProjScenario,PrdAdActif!$F:$F,adProjCdCanton,PrdAdActif!$G:$G,"ACTION",PrdAdActif!$D:$D,adProjIteration,PrdAdActif!$I:$I,"1.Perf")</f>
        <v>0</v>
      </c>
      <c r="H22" s="15">
        <f>SUMIFS(PrdAdActif!$M:$M,PrdAdActif!$B:$B,adProjChocS2,PrdAdActif!$C:$C,adProjScenario,PrdAdActif!$F:$F,adProjCdCanton,PrdAdActif!$G:$G,"ACTION",PrdAdActif!$D:$D,adProjIteration,PrdAdActif!$I:$I,"1.Perf")</f>
        <v>0</v>
      </c>
      <c r="I22" s="15">
        <f>SUMIFS(PrdAdActif!$M:$M,PrdAdActif!$B:$B,adProjChocS2,PrdAdActif!$C:$C,adProjScenario,PrdAdActif!$F:$F,adProjCdCanton,PrdAdActif!$G:$G,"ACTION",PrdAdActif!$D:$D,adProjIteration,PrdAdActif!$I:$I,"1.Perf")</f>
        <v>0</v>
      </c>
      <c r="J22" s="15">
        <f>SUMIFS(PrdAdActif!$M:$M,PrdAdActif!$B:$B,adProjChocS2,PrdAdActif!$C:$C,adProjScenario,PrdAdActif!$F:$F,adProjCdCanton,PrdAdActif!$G:$G,"ACTION",PrdAdActif!$D:$D,adProjIteration,PrdAdActif!$I:$I,"1.Perf")</f>
        <v>0</v>
      </c>
      <c r="K22" s="15">
        <f>SUMIFS(PrdAdActif!$M:$M,PrdAdActif!$B:$B,adProjChocS2,PrdAdActif!$C:$C,adProjScenario,PrdAdActif!$F:$F,adProjCdCanton,PrdAdActif!$G:$G,"ACTION",PrdAdActif!$D:$D,adProjIteration,PrdAdActif!$I:$I,"1.Perf")</f>
        <v>0</v>
      </c>
      <c r="L22" s="15">
        <f>SUMIFS(PrdAdActif!$M:$M,PrdAdActif!$B:$B,adProjChocS2,PrdAdActif!$C:$C,adProjScenario,PrdAdActif!$F:$F,adProjCdCanton,PrdAdActif!$G:$G,"ACTION",PrdAdActif!$D:$D,adProjIteration,PrdAdActif!$I:$I,"1.Perf")</f>
        <v>0</v>
      </c>
      <c r="M22" s="15">
        <f>SUMIFS(PrdAdActif!$M:$M,PrdAdActif!$B:$B,adProjChocS2,PrdAdActif!$C:$C,adProjScenario,PrdAdActif!$F:$F,adProjCdCanton,PrdAdActif!$G:$G,"ACTION",PrdAdActif!$D:$D,adProjIteration,PrdAdActif!$I:$I,"1.Perf")</f>
        <v>0</v>
      </c>
      <c r="N22" s="15">
        <f>SUMIFS(PrdAdActif!$M:$M,PrdAdActif!$B:$B,adProjChocS2,PrdAdActif!$C:$C,adProjScenario,PrdAdActif!$F:$F,adProjCdCanton,PrdAdActif!$G:$G,"ACTION",PrdAdActif!$D:$D,adProjIteration,PrdAdActif!$I:$I,"1.Perf")</f>
        <v>0</v>
      </c>
      <c r="O22" s="15">
        <f>SUMIFS(PrdAdActif!$M:$M,PrdAdActif!$B:$B,adProjChocS2,PrdAdActif!$C:$C,adProjScenario,PrdAdActif!$F:$F,adProjCdCanton,PrdAdActif!$G:$G,"ACTION",PrdAdActif!$D:$D,adProjIteration,PrdAdActif!$I:$I,"1.Perf")</f>
        <v>0</v>
      </c>
      <c r="P22" s="15">
        <f>SUMIFS(PrdAdActif!$M:$M,PrdAdActif!$B:$B,adProjChocS2,PrdAdActif!$C:$C,adProjScenario,PrdAdActif!$F:$F,adProjCdCanton,PrdAdActif!$G:$G,"ACTION",PrdAdActif!$D:$D,adProjIteration,PrdAdActif!$I:$I,"1.Perf")</f>
        <v>0</v>
      </c>
      <c r="Q22" s="15">
        <f>SUMIFS(PrdAdActif!$M:$M,PrdAdActif!$B:$B,adProjChocS2,PrdAdActif!$C:$C,adProjScenario,PrdAdActif!$F:$F,adProjCdCanton,PrdAdActif!$G:$G,"ACTION",PrdAdActif!$D:$D,adProjIteration,PrdAdActif!$I:$I,"1.Perf")</f>
        <v>0</v>
      </c>
      <c r="R22" s="15">
        <f>SUMIFS(PrdAdActif!$M:$M,PrdAdActif!$B:$B,adProjChocS2,PrdAdActif!$C:$C,adProjScenario,PrdAdActif!$F:$F,adProjCdCanton,PrdAdActif!$G:$G,"ACTION",PrdAdActif!$D:$D,adProjIteration,PrdAdActif!$I:$I,"1.Perf")</f>
        <v>0</v>
      </c>
      <c r="S22" s="15">
        <f>SUMIFS(PrdAdActif!$M:$M,PrdAdActif!$B:$B,adProjChocS2,PrdAdActif!$C:$C,adProjScenario,PrdAdActif!$F:$F,adProjCdCanton,PrdAdActif!$G:$G,"ACTION",PrdAdActif!$D:$D,adProjIteration,PrdAdActif!$I:$I,"1.Perf")</f>
        <v>0</v>
      </c>
      <c r="T22" s="15">
        <f>SUMIFS(PrdAdActif!$M:$M,PrdAdActif!$B:$B,adProjChocS2,PrdAdActif!$C:$C,adProjScenario,PrdAdActif!$F:$F,adProjCdCanton,PrdAdActif!$G:$G,"ACTION",PrdAdActif!$D:$D,adProjIteration,PrdAdActif!$I:$I,"1.Perf")</f>
        <v>0</v>
      </c>
      <c r="U22" s="15">
        <f>SUMIFS(PrdAdActif!$M:$M,PrdAdActif!$B:$B,adProjChocS2,PrdAdActif!$C:$C,adProjScenario,PrdAdActif!$F:$F,adProjCdCanton,PrdAdActif!$G:$G,"ACTION",PrdAdActif!$D:$D,adProjIteration,PrdAdActif!$I:$I,"1.Perf")</f>
        <v>0</v>
      </c>
      <c r="V22" s="15">
        <f>SUMIFS(PrdAdActif!$M:$M,PrdAdActif!$B:$B,adProjChocS2,PrdAdActif!$C:$C,adProjScenario,PrdAdActif!$F:$F,adProjCdCanton,PrdAdActif!$G:$G,"ACTION",PrdAdActif!$D:$D,adProjIteration,PrdAdActif!$I:$I,"1.Perf")</f>
        <v>0</v>
      </c>
      <c r="W22" s="15">
        <f>SUMIFS(PrdAdActif!$M:$M,PrdAdActif!$B:$B,adProjChocS2,PrdAdActif!$C:$C,adProjScenario,PrdAdActif!$F:$F,adProjCdCanton,PrdAdActif!$G:$G,"ACTION",PrdAdActif!$D:$D,adProjIteration,PrdAdActif!$I:$I,"1.Perf")</f>
        <v>0</v>
      </c>
      <c r="X22" s="15">
        <f>SUMIFS(PrdAdActif!$M:$M,PrdAdActif!$B:$B,adProjChocS2,PrdAdActif!$C:$C,adProjScenario,PrdAdActif!$F:$F,adProjCdCanton,PrdAdActif!$G:$G,"ACTION",PrdAdActif!$D:$D,adProjIteration,PrdAdActif!$I:$I,"1.Perf")</f>
        <v>0</v>
      </c>
      <c r="Y22" s="15">
        <f>SUMIFS(PrdAdActif!$M:$M,PrdAdActif!$B:$B,adProjChocS2,PrdAdActif!$C:$C,adProjScenario,PrdAdActif!$F:$F,adProjCdCanton,PrdAdActif!$G:$G,"ACTION",PrdAdActif!$D:$D,adProjIteration,PrdAdActif!$I:$I,"1.Perf")</f>
        <v>0</v>
      </c>
      <c r="Z22" s="15">
        <f>SUMIFS(PrdAdActif!$M:$M,PrdAdActif!$B:$B,adProjChocS2,PrdAdActif!$C:$C,adProjScenario,PrdAdActif!$F:$F,adProjCdCanton,PrdAdActif!$G:$G,"ACTION",PrdAdActif!$D:$D,adProjIteration,PrdAdActif!$I:$I,"1.Perf")</f>
        <v>0</v>
      </c>
      <c r="AA22" s="15">
        <f>SUMIFS(PrdAdActif!$M:$M,PrdAdActif!$B:$B,adProjChocS2,PrdAdActif!$C:$C,adProjScenario,PrdAdActif!$F:$F,adProjCdCanton,PrdAdActif!$G:$G,"ACTION",PrdAdActif!$D:$D,adProjIteration,PrdAdActif!$I:$I,"1.Perf")</f>
        <v>0</v>
      </c>
      <c r="AB22" s="15">
        <f>SUMIFS(PrdAdActif!$M:$M,PrdAdActif!$B:$B,adProjChocS2,PrdAdActif!$C:$C,adProjScenario,PrdAdActif!$F:$F,adProjCdCanton,PrdAdActif!$G:$G,"ACTION",PrdAdActif!$D:$D,adProjIteration,PrdAdActif!$I:$I,"1.Perf")</f>
        <v>0</v>
      </c>
      <c r="AC22" s="15">
        <f>SUMIFS(PrdAdActif!$M:$M,PrdAdActif!$B:$B,adProjChocS2,PrdAdActif!$C:$C,adProjScenario,PrdAdActif!$F:$F,adProjCdCanton,PrdAdActif!$G:$G,"ACTION",PrdAdActif!$D:$D,adProjIteration,PrdAdActif!$I:$I,"1.Perf")</f>
        <v>0</v>
      </c>
      <c r="AD22" s="15">
        <f>SUMIFS(PrdAdActif!$M:$M,PrdAdActif!$B:$B,adProjChocS2,PrdAdActif!$C:$C,adProjScenario,PrdAdActif!$F:$F,adProjCdCanton,PrdAdActif!$G:$G,"ACTION",PrdAdActif!$D:$D,adProjIteration,PrdAdActif!$I:$I,"1.Perf")</f>
        <v>0</v>
      </c>
      <c r="AE22" s="15">
        <f>SUMIFS(PrdAdActif!$M:$M,PrdAdActif!$B:$B,adProjChocS2,PrdAdActif!$C:$C,adProjScenario,PrdAdActif!$F:$F,adProjCdCanton,PrdAdActif!$G:$G,"ACTION",PrdAdActif!$D:$D,adProjIteration,PrdAdActif!$I:$I,"1.Perf")</f>
        <v>0</v>
      </c>
      <c r="AF22" s="15">
        <f>SUMIFS(PrdAdActif!$M:$M,PrdAdActif!$B:$B,adProjChocS2,PrdAdActif!$C:$C,adProjScenario,PrdAdActif!$F:$F,adProjCdCanton,PrdAdActif!$G:$G,"ACTION",PrdAdActif!$D:$D,adProjIteration,PrdAdActif!$I:$I,"1.Perf")</f>
        <v>0</v>
      </c>
      <c r="AG22" s="15">
        <f>SUMIFS(PrdAdActif!$M:$M,PrdAdActif!$B:$B,adProjChocS2,PrdAdActif!$C:$C,adProjScenario,PrdAdActif!$F:$F,adProjCdCanton,PrdAdActif!$G:$G,"ACTION",PrdAdActif!$D:$D,adProjIteration,PrdAdActif!$I:$I,"1.Perf")</f>
        <v>0</v>
      </c>
      <c r="AH22" s="15">
        <f>SUMIFS(PrdAdActif!$M:$M,PrdAdActif!$B:$B,adProjChocS2,PrdAdActif!$C:$C,adProjScenario,PrdAdActif!$F:$F,adProjCdCanton,PrdAdActif!$G:$G,"ACTION",PrdAdActif!$D:$D,adProjIteration,PrdAdActif!$I:$I,"1.Perf")</f>
        <v>0</v>
      </c>
      <c r="AI22" s="15">
        <f>SUMIFS(PrdAdActif!$M:$M,PrdAdActif!$B:$B,adProjChocS2,PrdAdActif!$C:$C,adProjScenario,PrdAdActif!$F:$F,adProjCdCanton,PrdAdActif!$G:$G,"ACTION",PrdAdActif!$D:$D,adProjIteration,PrdAdActif!$I:$I,"1.Perf")</f>
        <v>0</v>
      </c>
      <c r="AJ22" s="15">
        <f>SUMIFS(PrdAdActif!$M:$M,PrdAdActif!$B:$B,adProjChocS2,PrdAdActif!$C:$C,adProjScenario,PrdAdActif!$F:$F,adProjCdCanton,PrdAdActif!$G:$G,"ACTION",PrdAdActif!$D:$D,adProjIteration,PrdAdActif!$I:$I,"1.Perf")</f>
        <v>0</v>
      </c>
      <c r="AK22" s="15">
        <f>SUMIFS(PrdAdActif!$M:$M,PrdAdActif!$B:$B,adProjChocS2,PrdAdActif!$C:$C,adProjScenario,PrdAdActif!$F:$F,adProjCdCanton,PrdAdActif!$G:$G,"ACTION",PrdAdActif!$D:$D,adProjIteration,PrdAdActif!$I:$I,"1.Perf")</f>
        <v>0</v>
      </c>
      <c r="AL22" s="15">
        <f>SUMIFS(PrdAdActif!$M:$M,PrdAdActif!$B:$B,adProjChocS2,PrdAdActif!$C:$C,adProjScenario,PrdAdActif!$F:$F,adProjCdCanton,PrdAdActif!$G:$G,"ACTION",PrdAdActif!$D:$D,adProjIteration,PrdAdActif!$I:$I,"1.Perf")</f>
        <v>0</v>
      </c>
      <c r="AM22" s="15">
        <f>SUMIFS(PrdAdActif!$M:$M,PrdAdActif!$B:$B,adProjChocS2,PrdAdActif!$C:$C,adProjScenario,PrdAdActif!$F:$F,adProjCdCanton,PrdAdActif!$G:$G,"ACTION",PrdAdActif!$D:$D,adProjIteration,PrdAdActif!$I:$I,"1.Perf")</f>
        <v>0</v>
      </c>
      <c r="AN22" s="15">
        <f>SUMIFS(PrdAdActif!$M:$M,PrdAdActif!$B:$B,adProjChocS2,PrdAdActif!$C:$C,adProjScenario,PrdAdActif!$F:$F,adProjCdCanton,PrdAdActif!$G:$G,"ACTION",PrdAdActif!$D:$D,adProjIteration,PrdAdActif!$I:$I,"1.Perf")</f>
        <v>0</v>
      </c>
      <c r="AO22" s="15">
        <f>SUMIFS(PrdAdActif!$M:$M,PrdAdActif!$B:$B,adProjChocS2,PrdAdActif!$C:$C,adProjScenario,PrdAdActif!$F:$F,adProjCdCanton,PrdAdActif!$G:$G,"ACTION",PrdAdActif!$D:$D,adProjIteration,PrdAdActif!$I:$I,"1.Perf")</f>
        <v>0</v>
      </c>
      <c r="AP22" s="15">
        <f>SUMIFS(PrdAdActif!$M:$M,PrdAdActif!$B:$B,adProjChocS2,PrdAdActif!$C:$C,adProjScenario,PrdAdActif!$F:$F,adProjCdCanton,PrdAdActif!$G:$G,"ACTION",PrdAdActif!$D:$D,adProjIteration,PrdAdActif!$I:$I,"1.Perf")</f>
        <v>0</v>
      </c>
      <c r="AQ22" s="15">
        <f>SUMIFS(PrdAdActif!$M:$M,PrdAdActif!$B:$B,adProjChocS2,PrdAdActif!$C:$C,adProjScenario,PrdAdActif!$F:$F,adProjCdCanton,PrdAdActif!$G:$G,"ACTION",PrdAdActif!$D:$D,adProjIteration,PrdAdActif!$I:$I,"1.Perf")</f>
        <v>0</v>
      </c>
      <c r="AR22" s="15">
        <f>SUMIFS(PrdAdActif!$M:$M,PrdAdActif!$B:$B,adProjChocS2,PrdAdActif!$C:$C,adProjScenario,PrdAdActif!$F:$F,adProjCdCanton,PrdAdActif!$G:$G,"ACTION",PrdAdActif!$D:$D,adProjIteration,PrdAdActif!$I:$I,"1.Perf")</f>
        <v>0</v>
      </c>
      <c r="AS22" s="15">
        <f>SUMIFS(PrdAdActif!$M:$M,PrdAdActif!$B:$B,adProjChocS2,PrdAdActif!$C:$C,adProjScenario,PrdAdActif!$F:$F,adProjCdCanton,PrdAdActif!$G:$G,"ACTION",PrdAdActif!$D:$D,adProjIteration,PrdAdActif!$I:$I,"1.Perf")</f>
        <v>0</v>
      </c>
      <c r="AT22" s="15">
        <f>SUMIFS(PrdAdActif!$M:$M,PrdAdActif!$B:$B,adProjChocS2,PrdAdActif!$C:$C,adProjScenario,PrdAdActif!$F:$F,adProjCdCanton,PrdAdActif!$G:$G,"ACTION",PrdAdActif!$D:$D,adProjIteration,PrdAdActif!$I:$I,"1.Perf")</f>
        <v>0</v>
      </c>
      <c r="AU22" s="15">
        <f>SUMIFS(PrdAdActif!$M:$M,PrdAdActif!$B:$B,adProjChocS2,PrdAdActif!$C:$C,adProjScenario,PrdAdActif!$F:$F,adProjCdCanton,PrdAdActif!$G:$G,"ACTION",PrdAdActif!$D:$D,adProjIteration,PrdAdActif!$I:$I,"1.Perf")</f>
        <v>0</v>
      </c>
      <c r="AV22" s="15">
        <f>SUMIFS(PrdAdActif!$M:$M,PrdAdActif!$B:$B,adProjChocS2,PrdAdActif!$C:$C,adProjScenario,PrdAdActif!$F:$F,adProjCdCanton,PrdAdActif!$G:$G,"ACTION",PrdAdActif!$D:$D,adProjIteration,PrdAdActif!$I:$I,"1.Perf")</f>
        <v>0</v>
      </c>
      <c r="AW22" s="15">
        <f>SUMIFS(PrdAdActif!$M:$M,PrdAdActif!$B:$B,adProjChocS2,PrdAdActif!$C:$C,adProjScenario,PrdAdActif!$F:$F,adProjCdCanton,PrdAdActif!$G:$G,"ACTION",PrdAdActif!$D:$D,adProjIteration,PrdAdActif!$I:$I,"1.Perf")</f>
        <v>0</v>
      </c>
      <c r="AX22" s="15">
        <f>SUMIFS(PrdAdActif!$M:$M,PrdAdActif!$B:$B,adProjChocS2,PrdAdActif!$C:$C,adProjScenario,PrdAdActif!$F:$F,adProjCdCanton,PrdAdActif!$G:$G,"ACTION",PrdAdActif!$D:$D,adProjIteration,PrdAdActif!$I:$I,"1.Perf")</f>
        <v>0</v>
      </c>
      <c r="AY22" s="15">
        <f>SUMIFS(PrdAdActif!$M:$M,PrdAdActif!$B:$B,adProjChocS2,PrdAdActif!$C:$C,adProjScenario,PrdAdActif!$F:$F,adProjCdCanton,PrdAdActif!$G:$G,"ACTION",PrdAdActif!$D:$D,adProjIteration,PrdAdActif!$I:$I,"1.Perf")</f>
        <v>0</v>
      </c>
      <c r="AZ22" s="15">
        <f>SUMIFS(PrdAdActif!$M:$M,PrdAdActif!$B:$B,adProjChocS2,PrdAdActif!$C:$C,adProjScenario,PrdAdActif!$F:$F,adProjCdCanton,PrdAdActif!$G:$G,"ACTION",PrdAdActif!$D:$D,adProjIteration,PrdAdActif!$I:$I,"1.Perf")</f>
        <v>0</v>
      </c>
      <c r="BA22" s="15">
        <f>SUMIFS(PrdAdActif!$M:$M,PrdAdActif!$B:$B,adProjChocS2,PrdAdActif!$C:$C,adProjScenario,PrdAdActif!$F:$F,adProjCdCanton,PrdAdActif!$G:$G,"ACTION",PrdAdActif!$D:$D,adProjIteration,PrdAdActif!$I:$I,"1.Perf")</f>
        <v>0</v>
      </c>
      <c r="BB22" s="15">
        <f>SUMIFS(PrdAdActif!$M:$M,PrdAdActif!$B:$B,adProjChocS2,PrdAdActif!$C:$C,adProjScenario,PrdAdActif!$F:$F,adProjCdCanton,PrdAdActif!$G:$G,"ACTION",PrdAdActif!$D:$D,adProjIteration,PrdAdActif!$I:$I,"1.Perf")</f>
        <v>0</v>
      </c>
    </row>
    <row r="23" spans="2:54" ht="16.5" x14ac:dyDescent="0.3">
      <c r="B23" s="17"/>
      <c r="C23" s="14" t="s">
        <v>20</v>
      </c>
      <c r="D23" s="15">
        <f>SUMIFS(PrdAdActif!$M:$M,PrdAdActif!$B:$B,adProjChocS2,PrdAdActif!$C:$C,adProjScenario,PrdAdActif!$F:$F,adProjCdCanton,PrdAdActif!$G:$G,"MONETAIRE",PrdAdActif!$D:$D,adProjIteration,PrdAdActif!$I:$I,"1.Perf")</f>
        <v>0</v>
      </c>
      <c r="E23" s="15">
        <f>SUMIFS(PrdAdActif!$M:$M,PrdAdActif!$B:$B,adProjChocS2,PrdAdActif!$C:$C,adProjScenario,PrdAdActif!$F:$F,adProjCdCanton,PrdAdActif!$G:$G,"MONETAIRE",PrdAdActif!$D:$D,adProjIteration,PrdAdActif!$I:$I,"1.Perf")</f>
        <v>0</v>
      </c>
      <c r="F23" s="15">
        <f>SUMIFS(PrdAdActif!$M:$M,PrdAdActif!$B:$B,adProjChocS2,PrdAdActif!$C:$C,adProjScenario,PrdAdActif!$F:$F,adProjCdCanton,PrdAdActif!$G:$G,"MONETAIRE",PrdAdActif!$D:$D,adProjIteration,PrdAdActif!$I:$I,"1.Perf")</f>
        <v>0</v>
      </c>
      <c r="G23" s="15">
        <f>SUMIFS(PrdAdActif!$M:$M,PrdAdActif!$B:$B,adProjChocS2,PrdAdActif!$C:$C,adProjScenario,PrdAdActif!$F:$F,adProjCdCanton,PrdAdActif!$G:$G,"MONETAIRE",PrdAdActif!$D:$D,adProjIteration,PrdAdActif!$I:$I,"1.Perf")</f>
        <v>0</v>
      </c>
      <c r="H23" s="15">
        <f>SUMIFS(PrdAdActif!$M:$M,PrdAdActif!$B:$B,adProjChocS2,PrdAdActif!$C:$C,adProjScenario,PrdAdActif!$F:$F,adProjCdCanton,PrdAdActif!$G:$G,"MONETAIRE",PrdAdActif!$D:$D,adProjIteration,PrdAdActif!$I:$I,"1.Perf")</f>
        <v>0</v>
      </c>
      <c r="I23" s="15">
        <f>SUMIFS(PrdAdActif!$M:$M,PrdAdActif!$B:$B,adProjChocS2,PrdAdActif!$C:$C,adProjScenario,PrdAdActif!$F:$F,adProjCdCanton,PrdAdActif!$G:$G,"MONETAIRE",PrdAdActif!$D:$D,adProjIteration,PrdAdActif!$I:$I,"1.Perf")</f>
        <v>0</v>
      </c>
      <c r="J23" s="15">
        <f>SUMIFS(PrdAdActif!$M:$M,PrdAdActif!$B:$B,adProjChocS2,PrdAdActif!$C:$C,adProjScenario,PrdAdActif!$F:$F,adProjCdCanton,PrdAdActif!$G:$G,"MONETAIRE",PrdAdActif!$D:$D,adProjIteration,PrdAdActif!$I:$I,"1.Perf")</f>
        <v>0</v>
      </c>
      <c r="K23" s="15">
        <f>SUMIFS(PrdAdActif!$M:$M,PrdAdActif!$B:$B,adProjChocS2,PrdAdActif!$C:$C,adProjScenario,PrdAdActif!$F:$F,adProjCdCanton,PrdAdActif!$G:$G,"MONETAIRE",PrdAdActif!$D:$D,adProjIteration,PrdAdActif!$I:$I,"1.Perf")</f>
        <v>0</v>
      </c>
      <c r="L23" s="15">
        <f>SUMIFS(PrdAdActif!$M:$M,PrdAdActif!$B:$B,adProjChocS2,PrdAdActif!$C:$C,adProjScenario,PrdAdActif!$F:$F,adProjCdCanton,PrdAdActif!$G:$G,"MONETAIRE",PrdAdActif!$D:$D,adProjIteration,PrdAdActif!$I:$I,"1.Perf")</f>
        <v>0</v>
      </c>
      <c r="M23" s="15">
        <f>SUMIFS(PrdAdActif!$M:$M,PrdAdActif!$B:$B,adProjChocS2,PrdAdActif!$C:$C,adProjScenario,PrdAdActif!$F:$F,adProjCdCanton,PrdAdActif!$G:$G,"MONETAIRE",PrdAdActif!$D:$D,adProjIteration,PrdAdActif!$I:$I,"1.Perf")</f>
        <v>0</v>
      </c>
      <c r="N23" s="15">
        <f>SUMIFS(PrdAdActif!$M:$M,PrdAdActif!$B:$B,adProjChocS2,PrdAdActif!$C:$C,adProjScenario,PrdAdActif!$F:$F,adProjCdCanton,PrdAdActif!$G:$G,"MONETAIRE",PrdAdActif!$D:$D,adProjIteration,PrdAdActif!$I:$I,"1.Perf")</f>
        <v>0</v>
      </c>
      <c r="O23" s="15">
        <f>SUMIFS(PrdAdActif!$M:$M,PrdAdActif!$B:$B,adProjChocS2,PrdAdActif!$C:$C,adProjScenario,PrdAdActif!$F:$F,adProjCdCanton,PrdAdActif!$G:$G,"MONETAIRE",PrdAdActif!$D:$D,adProjIteration,PrdAdActif!$I:$I,"1.Perf")</f>
        <v>0</v>
      </c>
      <c r="P23" s="15">
        <f>SUMIFS(PrdAdActif!$M:$M,PrdAdActif!$B:$B,adProjChocS2,PrdAdActif!$C:$C,adProjScenario,PrdAdActif!$F:$F,adProjCdCanton,PrdAdActif!$G:$G,"MONETAIRE",PrdAdActif!$D:$D,adProjIteration,PrdAdActif!$I:$I,"1.Perf")</f>
        <v>0</v>
      </c>
      <c r="Q23" s="15">
        <f>SUMIFS(PrdAdActif!$M:$M,PrdAdActif!$B:$B,adProjChocS2,PrdAdActif!$C:$C,adProjScenario,PrdAdActif!$F:$F,adProjCdCanton,PrdAdActif!$G:$G,"MONETAIRE",PrdAdActif!$D:$D,adProjIteration,PrdAdActif!$I:$I,"1.Perf")</f>
        <v>0</v>
      </c>
      <c r="R23" s="15">
        <f>SUMIFS(PrdAdActif!$M:$M,PrdAdActif!$B:$B,adProjChocS2,PrdAdActif!$C:$C,adProjScenario,PrdAdActif!$F:$F,adProjCdCanton,PrdAdActif!$G:$G,"MONETAIRE",PrdAdActif!$D:$D,adProjIteration,PrdAdActif!$I:$I,"1.Perf")</f>
        <v>0</v>
      </c>
      <c r="S23" s="15">
        <f>SUMIFS(PrdAdActif!$M:$M,PrdAdActif!$B:$B,adProjChocS2,PrdAdActif!$C:$C,adProjScenario,PrdAdActif!$F:$F,adProjCdCanton,PrdAdActif!$G:$G,"MONETAIRE",PrdAdActif!$D:$D,adProjIteration,PrdAdActif!$I:$I,"1.Perf")</f>
        <v>0</v>
      </c>
      <c r="T23" s="15">
        <f>SUMIFS(PrdAdActif!$M:$M,PrdAdActif!$B:$B,adProjChocS2,PrdAdActif!$C:$C,adProjScenario,PrdAdActif!$F:$F,adProjCdCanton,PrdAdActif!$G:$G,"MONETAIRE",PrdAdActif!$D:$D,adProjIteration,PrdAdActif!$I:$I,"1.Perf")</f>
        <v>0</v>
      </c>
      <c r="U23" s="15">
        <f>SUMIFS(PrdAdActif!$M:$M,PrdAdActif!$B:$B,adProjChocS2,PrdAdActif!$C:$C,adProjScenario,PrdAdActif!$F:$F,adProjCdCanton,PrdAdActif!$G:$G,"MONETAIRE",PrdAdActif!$D:$D,adProjIteration,PrdAdActif!$I:$I,"1.Perf")</f>
        <v>0</v>
      </c>
      <c r="V23" s="15">
        <f>SUMIFS(PrdAdActif!$M:$M,PrdAdActif!$B:$B,adProjChocS2,PrdAdActif!$C:$C,adProjScenario,PrdAdActif!$F:$F,adProjCdCanton,PrdAdActif!$G:$G,"MONETAIRE",PrdAdActif!$D:$D,adProjIteration,PrdAdActif!$I:$I,"1.Perf")</f>
        <v>0</v>
      </c>
      <c r="W23" s="15">
        <f>SUMIFS(PrdAdActif!$M:$M,PrdAdActif!$B:$B,adProjChocS2,PrdAdActif!$C:$C,adProjScenario,PrdAdActif!$F:$F,adProjCdCanton,PrdAdActif!$G:$G,"MONETAIRE",PrdAdActif!$D:$D,adProjIteration,PrdAdActif!$I:$I,"1.Perf")</f>
        <v>0</v>
      </c>
      <c r="X23" s="15">
        <f>SUMIFS(PrdAdActif!$M:$M,PrdAdActif!$B:$B,adProjChocS2,PrdAdActif!$C:$C,adProjScenario,PrdAdActif!$F:$F,adProjCdCanton,PrdAdActif!$G:$G,"MONETAIRE",PrdAdActif!$D:$D,adProjIteration,PrdAdActif!$I:$I,"1.Perf")</f>
        <v>0</v>
      </c>
      <c r="Y23" s="15">
        <f>SUMIFS(PrdAdActif!$M:$M,PrdAdActif!$B:$B,adProjChocS2,PrdAdActif!$C:$C,adProjScenario,PrdAdActif!$F:$F,adProjCdCanton,PrdAdActif!$G:$G,"MONETAIRE",PrdAdActif!$D:$D,adProjIteration,PrdAdActif!$I:$I,"1.Perf")</f>
        <v>0</v>
      </c>
      <c r="Z23" s="15">
        <f>SUMIFS(PrdAdActif!$M:$M,PrdAdActif!$B:$B,adProjChocS2,PrdAdActif!$C:$C,adProjScenario,PrdAdActif!$F:$F,adProjCdCanton,PrdAdActif!$G:$G,"MONETAIRE",PrdAdActif!$D:$D,adProjIteration,PrdAdActif!$I:$I,"1.Perf")</f>
        <v>0</v>
      </c>
      <c r="AA23" s="15">
        <f>SUMIFS(PrdAdActif!$M:$M,PrdAdActif!$B:$B,adProjChocS2,PrdAdActif!$C:$C,adProjScenario,PrdAdActif!$F:$F,adProjCdCanton,PrdAdActif!$G:$G,"MONETAIRE",PrdAdActif!$D:$D,adProjIteration,PrdAdActif!$I:$I,"1.Perf")</f>
        <v>0</v>
      </c>
      <c r="AB23" s="15">
        <f>SUMIFS(PrdAdActif!$M:$M,PrdAdActif!$B:$B,adProjChocS2,PrdAdActif!$C:$C,adProjScenario,PrdAdActif!$F:$F,adProjCdCanton,PrdAdActif!$G:$G,"MONETAIRE",PrdAdActif!$D:$D,adProjIteration,PrdAdActif!$I:$I,"1.Perf")</f>
        <v>0</v>
      </c>
      <c r="AC23" s="15">
        <f>SUMIFS(PrdAdActif!$M:$M,PrdAdActif!$B:$B,adProjChocS2,PrdAdActif!$C:$C,adProjScenario,PrdAdActif!$F:$F,adProjCdCanton,PrdAdActif!$G:$G,"MONETAIRE",PrdAdActif!$D:$D,adProjIteration,PrdAdActif!$I:$I,"1.Perf")</f>
        <v>0</v>
      </c>
      <c r="AD23" s="15">
        <f>SUMIFS(PrdAdActif!$M:$M,PrdAdActif!$B:$B,adProjChocS2,PrdAdActif!$C:$C,adProjScenario,PrdAdActif!$F:$F,adProjCdCanton,PrdAdActif!$G:$G,"MONETAIRE",PrdAdActif!$D:$D,adProjIteration,PrdAdActif!$I:$I,"1.Perf")</f>
        <v>0</v>
      </c>
      <c r="AE23" s="15">
        <f>SUMIFS(PrdAdActif!$M:$M,PrdAdActif!$B:$B,adProjChocS2,PrdAdActif!$C:$C,adProjScenario,PrdAdActif!$F:$F,adProjCdCanton,PrdAdActif!$G:$G,"MONETAIRE",PrdAdActif!$D:$D,adProjIteration,PrdAdActif!$I:$I,"1.Perf")</f>
        <v>0</v>
      </c>
      <c r="AF23" s="15">
        <f>SUMIFS(PrdAdActif!$M:$M,PrdAdActif!$B:$B,adProjChocS2,PrdAdActif!$C:$C,adProjScenario,PrdAdActif!$F:$F,adProjCdCanton,PrdAdActif!$G:$G,"MONETAIRE",PrdAdActif!$D:$D,adProjIteration,PrdAdActif!$I:$I,"1.Perf")</f>
        <v>0</v>
      </c>
      <c r="AG23" s="15">
        <f>SUMIFS(PrdAdActif!$M:$M,PrdAdActif!$B:$B,adProjChocS2,PrdAdActif!$C:$C,adProjScenario,PrdAdActif!$F:$F,adProjCdCanton,PrdAdActif!$G:$G,"MONETAIRE",PrdAdActif!$D:$D,adProjIteration,PrdAdActif!$I:$I,"1.Perf")</f>
        <v>0</v>
      </c>
      <c r="AH23" s="15">
        <f>SUMIFS(PrdAdActif!$M:$M,PrdAdActif!$B:$B,adProjChocS2,PrdAdActif!$C:$C,adProjScenario,PrdAdActif!$F:$F,adProjCdCanton,PrdAdActif!$G:$G,"MONETAIRE",PrdAdActif!$D:$D,adProjIteration,PrdAdActif!$I:$I,"1.Perf")</f>
        <v>0</v>
      </c>
      <c r="AI23" s="15">
        <f>SUMIFS(PrdAdActif!$M:$M,PrdAdActif!$B:$B,adProjChocS2,PrdAdActif!$C:$C,adProjScenario,PrdAdActif!$F:$F,adProjCdCanton,PrdAdActif!$G:$G,"MONETAIRE",PrdAdActif!$D:$D,adProjIteration,PrdAdActif!$I:$I,"1.Perf")</f>
        <v>0</v>
      </c>
      <c r="AJ23" s="15">
        <f>SUMIFS(PrdAdActif!$M:$M,PrdAdActif!$B:$B,adProjChocS2,PrdAdActif!$C:$C,adProjScenario,PrdAdActif!$F:$F,adProjCdCanton,PrdAdActif!$G:$G,"MONETAIRE",PrdAdActif!$D:$D,adProjIteration,PrdAdActif!$I:$I,"1.Perf")</f>
        <v>0</v>
      </c>
      <c r="AK23" s="15">
        <f>SUMIFS(PrdAdActif!$M:$M,PrdAdActif!$B:$B,adProjChocS2,PrdAdActif!$C:$C,adProjScenario,PrdAdActif!$F:$F,adProjCdCanton,PrdAdActif!$G:$G,"MONETAIRE",PrdAdActif!$D:$D,adProjIteration,PrdAdActif!$I:$I,"1.Perf")</f>
        <v>0</v>
      </c>
      <c r="AL23" s="15">
        <f>SUMIFS(PrdAdActif!$M:$M,PrdAdActif!$B:$B,adProjChocS2,PrdAdActif!$C:$C,adProjScenario,PrdAdActif!$F:$F,adProjCdCanton,PrdAdActif!$G:$G,"MONETAIRE",PrdAdActif!$D:$D,adProjIteration,PrdAdActif!$I:$I,"1.Perf")</f>
        <v>0</v>
      </c>
      <c r="AM23" s="15">
        <f>SUMIFS(PrdAdActif!$M:$M,PrdAdActif!$B:$B,adProjChocS2,PrdAdActif!$C:$C,adProjScenario,PrdAdActif!$F:$F,adProjCdCanton,PrdAdActif!$G:$G,"MONETAIRE",PrdAdActif!$D:$D,adProjIteration,PrdAdActif!$I:$I,"1.Perf")</f>
        <v>0</v>
      </c>
      <c r="AN23" s="15">
        <f>SUMIFS(PrdAdActif!$M:$M,PrdAdActif!$B:$B,adProjChocS2,PrdAdActif!$C:$C,adProjScenario,PrdAdActif!$F:$F,adProjCdCanton,PrdAdActif!$G:$G,"MONETAIRE",PrdAdActif!$D:$D,adProjIteration,PrdAdActif!$I:$I,"1.Perf")</f>
        <v>0</v>
      </c>
      <c r="AO23" s="15">
        <f>SUMIFS(PrdAdActif!$M:$M,PrdAdActif!$B:$B,adProjChocS2,PrdAdActif!$C:$C,adProjScenario,PrdAdActif!$F:$F,adProjCdCanton,PrdAdActif!$G:$G,"MONETAIRE",PrdAdActif!$D:$D,adProjIteration,PrdAdActif!$I:$I,"1.Perf")</f>
        <v>0</v>
      </c>
      <c r="AP23" s="15">
        <f>SUMIFS(PrdAdActif!$M:$M,PrdAdActif!$B:$B,adProjChocS2,PrdAdActif!$C:$C,adProjScenario,PrdAdActif!$F:$F,adProjCdCanton,PrdAdActif!$G:$G,"MONETAIRE",PrdAdActif!$D:$D,adProjIteration,PrdAdActif!$I:$I,"1.Perf")</f>
        <v>0</v>
      </c>
      <c r="AQ23" s="15">
        <f>SUMIFS(PrdAdActif!$M:$M,PrdAdActif!$B:$B,adProjChocS2,PrdAdActif!$C:$C,adProjScenario,PrdAdActif!$F:$F,adProjCdCanton,PrdAdActif!$G:$G,"MONETAIRE",PrdAdActif!$D:$D,adProjIteration,PrdAdActif!$I:$I,"1.Perf")</f>
        <v>0</v>
      </c>
      <c r="AR23" s="15">
        <f>SUMIFS(PrdAdActif!$M:$M,PrdAdActif!$B:$B,adProjChocS2,PrdAdActif!$C:$C,adProjScenario,PrdAdActif!$F:$F,adProjCdCanton,PrdAdActif!$G:$G,"MONETAIRE",PrdAdActif!$D:$D,adProjIteration,PrdAdActif!$I:$I,"1.Perf")</f>
        <v>0</v>
      </c>
      <c r="AS23" s="15">
        <f>SUMIFS(PrdAdActif!$M:$M,PrdAdActif!$B:$B,adProjChocS2,PrdAdActif!$C:$C,adProjScenario,PrdAdActif!$F:$F,adProjCdCanton,PrdAdActif!$G:$G,"MONETAIRE",PrdAdActif!$D:$D,adProjIteration,PrdAdActif!$I:$I,"1.Perf")</f>
        <v>0</v>
      </c>
      <c r="AT23" s="15">
        <f>SUMIFS(PrdAdActif!$M:$M,PrdAdActif!$B:$B,adProjChocS2,PrdAdActif!$C:$C,adProjScenario,PrdAdActif!$F:$F,adProjCdCanton,PrdAdActif!$G:$G,"MONETAIRE",PrdAdActif!$D:$D,adProjIteration,PrdAdActif!$I:$I,"1.Perf")</f>
        <v>0</v>
      </c>
      <c r="AU23" s="15">
        <f>SUMIFS(PrdAdActif!$M:$M,PrdAdActif!$B:$B,adProjChocS2,PrdAdActif!$C:$C,adProjScenario,PrdAdActif!$F:$F,adProjCdCanton,PrdAdActif!$G:$G,"MONETAIRE",PrdAdActif!$D:$D,adProjIteration,PrdAdActif!$I:$I,"1.Perf")</f>
        <v>0</v>
      </c>
      <c r="AV23" s="15">
        <f>SUMIFS(PrdAdActif!$M:$M,PrdAdActif!$B:$B,adProjChocS2,PrdAdActif!$C:$C,adProjScenario,PrdAdActif!$F:$F,adProjCdCanton,PrdAdActif!$G:$G,"MONETAIRE",PrdAdActif!$D:$D,adProjIteration,PrdAdActif!$I:$I,"1.Perf")</f>
        <v>0</v>
      </c>
      <c r="AW23" s="15">
        <f>SUMIFS(PrdAdActif!$M:$M,PrdAdActif!$B:$B,adProjChocS2,PrdAdActif!$C:$C,adProjScenario,PrdAdActif!$F:$F,adProjCdCanton,PrdAdActif!$G:$G,"MONETAIRE",PrdAdActif!$D:$D,adProjIteration,PrdAdActif!$I:$I,"1.Perf")</f>
        <v>0</v>
      </c>
      <c r="AX23" s="15">
        <f>SUMIFS(PrdAdActif!$M:$M,PrdAdActif!$B:$B,adProjChocS2,PrdAdActif!$C:$C,adProjScenario,PrdAdActif!$F:$F,adProjCdCanton,PrdAdActif!$G:$G,"MONETAIRE",PrdAdActif!$D:$D,adProjIteration,PrdAdActif!$I:$I,"1.Perf")</f>
        <v>0</v>
      </c>
      <c r="AY23" s="15">
        <f>SUMIFS(PrdAdActif!$M:$M,PrdAdActif!$B:$B,adProjChocS2,PrdAdActif!$C:$C,adProjScenario,PrdAdActif!$F:$F,adProjCdCanton,PrdAdActif!$G:$G,"MONETAIRE",PrdAdActif!$D:$D,adProjIteration,PrdAdActif!$I:$I,"1.Perf")</f>
        <v>0</v>
      </c>
      <c r="AZ23" s="15">
        <f>SUMIFS(PrdAdActif!$M:$M,PrdAdActif!$B:$B,adProjChocS2,PrdAdActif!$C:$C,adProjScenario,PrdAdActif!$F:$F,adProjCdCanton,PrdAdActif!$G:$G,"MONETAIRE",PrdAdActif!$D:$D,adProjIteration,PrdAdActif!$I:$I,"1.Perf")</f>
        <v>0</v>
      </c>
      <c r="BA23" s="15">
        <f>SUMIFS(PrdAdActif!$M:$M,PrdAdActif!$B:$B,adProjChocS2,PrdAdActif!$C:$C,adProjScenario,PrdAdActif!$F:$F,adProjCdCanton,PrdAdActif!$G:$G,"MONETAIRE",PrdAdActif!$D:$D,adProjIteration,PrdAdActif!$I:$I,"1.Perf")</f>
        <v>0</v>
      </c>
      <c r="BB23" s="15">
        <f>SUMIFS(PrdAdActif!$M:$M,PrdAdActif!$B:$B,adProjChocS2,PrdAdActif!$C:$C,adProjScenario,PrdAdActif!$F:$F,adProjCdCanton,PrdAdActif!$G:$G,"MONETAIRE",PrdAdActif!$D:$D,adProjIteration,PrdAdActif!$I:$I,"1.Perf")</f>
        <v>0</v>
      </c>
    </row>
    <row r="24" spans="2:54" ht="16.5" x14ac:dyDescent="0.3">
      <c r="B24" s="17"/>
      <c r="C24" s="14" t="s">
        <v>21</v>
      </c>
      <c r="D24" s="15">
        <f>SUMIFS(PrdAdActif!$M:$M,PrdAdActif!$B:$B,adProjChocS2,PrdAdActif!$C:$C,adProjScenario,PrdAdActif!$F:$F,adProjCdCanton,PrdAdActif!$D:$D,adProjIteration,PrdAdActif!$I:$I,"1.Perf")</f>
        <v>0</v>
      </c>
      <c r="E24" s="15">
        <f>SUMIFS(PrdAdActif!$M:$M,PrdAdActif!$B:$B,adProjChocS2,PrdAdActif!$C:$C,adProjScenario,PrdAdActif!$F:$F,adProjCdCanton,PrdAdActif!$D:$D,adProjIteration,PrdAdActif!$I:$I,"1.Perf")</f>
        <v>0</v>
      </c>
      <c r="F24" s="15">
        <f>SUMIFS(PrdAdActif!$M:$M,PrdAdActif!$B:$B,adProjChocS2,PrdAdActif!$C:$C,adProjScenario,PrdAdActif!$F:$F,adProjCdCanton,PrdAdActif!$D:$D,adProjIteration,PrdAdActif!$I:$I,"1.Perf")</f>
        <v>0</v>
      </c>
      <c r="G24" s="15">
        <f>SUMIFS(PrdAdActif!$M:$M,PrdAdActif!$B:$B,adProjChocS2,PrdAdActif!$C:$C,adProjScenario,PrdAdActif!$F:$F,adProjCdCanton,PrdAdActif!$D:$D,adProjIteration,PrdAdActif!$I:$I,"1.Perf")</f>
        <v>0</v>
      </c>
      <c r="H24" s="15">
        <f>SUMIFS(PrdAdActif!$M:$M,PrdAdActif!$B:$B,adProjChocS2,PrdAdActif!$C:$C,adProjScenario,PrdAdActif!$F:$F,adProjCdCanton,PrdAdActif!$D:$D,adProjIteration,PrdAdActif!$I:$I,"1.Perf")</f>
        <v>0</v>
      </c>
      <c r="I24" s="15">
        <f>SUMIFS(PrdAdActif!$M:$M,PrdAdActif!$B:$B,adProjChocS2,PrdAdActif!$C:$C,adProjScenario,PrdAdActif!$F:$F,adProjCdCanton,PrdAdActif!$D:$D,adProjIteration,PrdAdActif!$I:$I,"1.Perf")</f>
        <v>0</v>
      </c>
      <c r="J24" s="15">
        <f>SUMIFS(PrdAdActif!$M:$M,PrdAdActif!$B:$B,adProjChocS2,PrdAdActif!$C:$C,adProjScenario,PrdAdActif!$F:$F,adProjCdCanton,PrdAdActif!$D:$D,adProjIteration,PrdAdActif!$I:$I,"1.Perf")</f>
        <v>0</v>
      </c>
      <c r="K24" s="15">
        <f>SUMIFS(PrdAdActif!$M:$M,PrdAdActif!$B:$B,adProjChocS2,PrdAdActif!$C:$C,adProjScenario,PrdAdActif!$F:$F,adProjCdCanton,PrdAdActif!$D:$D,adProjIteration,PrdAdActif!$I:$I,"1.Perf")</f>
        <v>0</v>
      </c>
      <c r="L24" s="15">
        <f>SUMIFS(PrdAdActif!$M:$M,PrdAdActif!$B:$B,adProjChocS2,PrdAdActif!$C:$C,adProjScenario,PrdAdActif!$F:$F,adProjCdCanton,PrdAdActif!$D:$D,adProjIteration,PrdAdActif!$I:$I,"1.Perf")</f>
        <v>0</v>
      </c>
      <c r="M24" s="15">
        <f>SUMIFS(PrdAdActif!$M:$M,PrdAdActif!$B:$B,adProjChocS2,PrdAdActif!$C:$C,adProjScenario,PrdAdActif!$F:$F,adProjCdCanton,PrdAdActif!$D:$D,adProjIteration,PrdAdActif!$I:$I,"1.Perf")</f>
        <v>0</v>
      </c>
      <c r="N24" s="15">
        <f>SUMIFS(PrdAdActif!$M:$M,PrdAdActif!$B:$B,adProjChocS2,PrdAdActif!$C:$C,adProjScenario,PrdAdActif!$F:$F,adProjCdCanton,PrdAdActif!$D:$D,adProjIteration,PrdAdActif!$I:$I,"1.Perf")</f>
        <v>0</v>
      </c>
      <c r="O24" s="15">
        <f>SUMIFS(PrdAdActif!$M:$M,PrdAdActif!$B:$B,adProjChocS2,PrdAdActif!$C:$C,adProjScenario,PrdAdActif!$F:$F,adProjCdCanton,PrdAdActif!$D:$D,adProjIteration,PrdAdActif!$I:$I,"1.Perf")</f>
        <v>0</v>
      </c>
      <c r="P24" s="15">
        <f>SUMIFS(PrdAdActif!$M:$M,PrdAdActif!$B:$B,adProjChocS2,PrdAdActif!$C:$C,adProjScenario,PrdAdActif!$F:$F,adProjCdCanton,PrdAdActif!$D:$D,adProjIteration,PrdAdActif!$I:$I,"1.Perf")</f>
        <v>0</v>
      </c>
      <c r="Q24" s="15">
        <f>SUMIFS(PrdAdActif!$M:$M,PrdAdActif!$B:$B,adProjChocS2,PrdAdActif!$C:$C,adProjScenario,PrdAdActif!$F:$F,adProjCdCanton,PrdAdActif!$D:$D,adProjIteration,PrdAdActif!$I:$I,"1.Perf")</f>
        <v>0</v>
      </c>
      <c r="R24" s="15">
        <f>SUMIFS(PrdAdActif!$M:$M,PrdAdActif!$B:$B,adProjChocS2,PrdAdActif!$C:$C,adProjScenario,PrdAdActif!$F:$F,adProjCdCanton,PrdAdActif!$D:$D,adProjIteration,PrdAdActif!$I:$I,"1.Perf")</f>
        <v>0</v>
      </c>
      <c r="S24" s="15">
        <f>SUMIFS(PrdAdActif!$M:$M,PrdAdActif!$B:$B,adProjChocS2,PrdAdActif!$C:$C,adProjScenario,PrdAdActif!$F:$F,adProjCdCanton,PrdAdActif!$D:$D,adProjIteration,PrdAdActif!$I:$I,"1.Perf")</f>
        <v>0</v>
      </c>
      <c r="T24" s="15">
        <f>SUMIFS(PrdAdActif!$M:$M,PrdAdActif!$B:$B,adProjChocS2,PrdAdActif!$C:$C,adProjScenario,PrdAdActif!$F:$F,adProjCdCanton,PrdAdActif!$D:$D,adProjIteration,PrdAdActif!$I:$I,"1.Perf")</f>
        <v>0</v>
      </c>
      <c r="U24" s="15">
        <f>SUMIFS(PrdAdActif!$M:$M,PrdAdActif!$B:$B,adProjChocS2,PrdAdActif!$C:$C,adProjScenario,PrdAdActif!$F:$F,adProjCdCanton,PrdAdActif!$D:$D,adProjIteration,PrdAdActif!$I:$I,"1.Perf")</f>
        <v>0</v>
      </c>
      <c r="V24" s="15">
        <f>SUMIFS(PrdAdActif!$M:$M,PrdAdActif!$B:$B,adProjChocS2,PrdAdActif!$C:$C,adProjScenario,PrdAdActif!$F:$F,adProjCdCanton,PrdAdActif!$D:$D,adProjIteration,PrdAdActif!$I:$I,"1.Perf")</f>
        <v>0</v>
      </c>
      <c r="W24" s="15">
        <f>SUMIFS(PrdAdActif!$M:$M,PrdAdActif!$B:$B,adProjChocS2,PrdAdActif!$C:$C,adProjScenario,PrdAdActif!$F:$F,adProjCdCanton,PrdAdActif!$D:$D,adProjIteration,PrdAdActif!$I:$I,"1.Perf")</f>
        <v>0</v>
      </c>
      <c r="X24" s="15">
        <f>SUMIFS(PrdAdActif!$M:$M,PrdAdActif!$B:$B,adProjChocS2,PrdAdActif!$C:$C,adProjScenario,PrdAdActif!$F:$F,adProjCdCanton,PrdAdActif!$D:$D,adProjIteration,PrdAdActif!$I:$I,"1.Perf")</f>
        <v>0</v>
      </c>
      <c r="Y24" s="15">
        <f>SUMIFS(PrdAdActif!$M:$M,PrdAdActif!$B:$B,adProjChocS2,PrdAdActif!$C:$C,adProjScenario,PrdAdActif!$F:$F,adProjCdCanton,PrdAdActif!$D:$D,adProjIteration,PrdAdActif!$I:$I,"1.Perf")</f>
        <v>0</v>
      </c>
      <c r="Z24" s="15">
        <f>SUMIFS(PrdAdActif!$M:$M,PrdAdActif!$B:$B,adProjChocS2,PrdAdActif!$C:$C,adProjScenario,PrdAdActif!$F:$F,adProjCdCanton,PrdAdActif!$D:$D,adProjIteration,PrdAdActif!$I:$I,"1.Perf")</f>
        <v>0</v>
      </c>
      <c r="AA24" s="15">
        <f>SUMIFS(PrdAdActif!$M:$M,PrdAdActif!$B:$B,adProjChocS2,PrdAdActif!$C:$C,adProjScenario,PrdAdActif!$F:$F,adProjCdCanton,PrdAdActif!$D:$D,adProjIteration,PrdAdActif!$I:$I,"1.Perf")</f>
        <v>0</v>
      </c>
      <c r="AB24" s="15">
        <f>SUMIFS(PrdAdActif!$M:$M,PrdAdActif!$B:$B,adProjChocS2,PrdAdActif!$C:$C,adProjScenario,PrdAdActif!$F:$F,adProjCdCanton,PrdAdActif!$D:$D,adProjIteration,PrdAdActif!$I:$I,"1.Perf")</f>
        <v>0</v>
      </c>
      <c r="AC24" s="15">
        <f>SUMIFS(PrdAdActif!$M:$M,PrdAdActif!$B:$B,adProjChocS2,PrdAdActif!$C:$C,adProjScenario,PrdAdActif!$F:$F,adProjCdCanton,PrdAdActif!$D:$D,adProjIteration,PrdAdActif!$I:$I,"1.Perf")</f>
        <v>0</v>
      </c>
      <c r="AD24" s="15">
        <f>SUMIFS(PrdAdActif!$M:$M,PrdAdActif!$B:$B,adProjChocS2,PrdAdActif!$C:$C,adProjScenario,PrdAdActif!$F:$F,adProjCdCanton,PrdAdActif!$D:$D,adProjIteration,PrdAdActif!$I:$I,"1.Perf")</f>
        <v>0</v>
      </c>
      <c r="AE24" s="15">
        <f>SUMIFS(PrdAdActif!$M:$M,PrdAdActif!$B:$B,adProjChocS2,PrdAdActif!$C:$C,adProjScenario,PrdAdActif!$F:$F,adProjCdCanton,PrdAdActif!$D:$D,adProjIteration,PrdAdActif!$I:$I,"1.Perf")</f>
        <v>0</v>
      </c>
      <c r="AF24" s="15">
        <f>SUMIFS(PrdAdActif!$M:$M,PrdAdActif!$B:$B,adProjChocS2,PrdAdActif!$C:$C,adProjScenario,PrdAdActif!$F:$F,adProjCdCanton,PrdAdActif!$D:$D,adProjIteration,PrdAdActif!$I:$I,"1.Perf")</f>
        <v>0</v>
      </c>
      <c r="AG24" s="15">
        <f>SUMIFS(PrdAdActif!$M:$M,PrdAdActif!$B:$B,adProjChocS2,PrdAdActif!$C:$C,adProjScenario,PrdAdActif!$F:$F,adProjCdCanton,PrdAdActif!$D:$D,adProjIteration,PrdAdActif!$I:$I,"1.Perf")</f>
        <v>0</v>
      </c>
      <c r="AH24" s="15">
        <f>SUMIFS(PrdAdActif!$M:$M,PrdAdActif!$B:$B,adProjChocS2,PrdAdActif!$C:$C,adProjScenario,PrdAdActif!$F:$F,adProjCdCanton,PrdAdActif!$D:$D,adProjIteration,PrdAdActif!$I:$I,"1.Perf")</f>
        <v>0</v>
      </c>
      <c r="AI24" s="15">
        <f>SUMIFS(PrdAdActif!$M:$M,PrdAdActif!$B:$B,adProjChocS2,PrdAdActif!$C:$C,adProjScenario,PrdAdActif!$F:$F,adProjCdCanton,PrdAdActif!$D:$D,adProjIteration,PrdAdActif!$I:$I,"1.Perf")</f>
        <v>0</v>
      </c>
      <c r="AJ24" s="15">
        <f>SUMIFS(PrdAdActif!$M:$M,PrdAdActif!$B:$B,adProjChocS2,PrdAdActif!$C:$C,adProjScenario,PrdAdActif!$F:$F,adProjCdCanton,PrdAdActif!$D:$D,adProjIteration,PrdAdActif!$I:$I,"1.Perf")</f>
        <v>0</v>
      </c>
      <c r="AK24" s="15">
        <f>SUMIFS(PrdAdActif!$M:$M,PrdAdActif!$B:$B,adProjChocS2,PrdAdActif!$C:$C,adProjScenario,PrdAdActif!$F:$F,adProjCdCanton,PrdAdActif!$D:$D,adProjIteration,PrdAdActif!$I:$I,"1.Perf")</f>
        <v>0</v>
      </c>
      <c r="AL24" s="15">
        <f>SUMIFS(PrdAdActif!$M:$M,PrdAdActif!$B:$B,adProjChocS2,PrdAdActif!$C:$C,adProjScenario,PrdAdActif!$F:$F,adProjCdCanton,PrdAdActif!$D:$D,adProjIteration,PrdAdActif!$I:$I,"1.Perf")</f>
        <v>0</v>
      </c>
      <c r="AM24" s="15">
        <f>SUMIFS(PrdAdActif!$M:$M,PrdAdActif!$B:$B,adProjChocS2,PrdAdActif!$C:$C,adProjScenario,PrdAdActif!$F:$F,adProjCdCanton,PrdAdActif!$D:$D,adProjIteration,PrdAdActif!$I:$I,"1.Perf")</f>
        <v>0</v>
      </c>
      <c r="AN24" s="15">
        <f>SUMIFS(PrdAdActif!$M:$M,PrdAdActif!$B:$B,adProjChocS2,PrdAdActif!$C:$C,adProjScenario,PrdAdActif!$F:$F,adProjCdCanton,PrdAdActif!$D:$D,adProjIteration,PrdAdActif!$I:$I,"1.Perf")</f>
        <v>0</v>
      </c>
      <c r="AO24" s="15">
        <f>SUMIFS(PrdAdActif!$M:$M,PrdAdActif!$B:$B,adProjChocS2,PrdAdActif!$C:$C,adProjScenario,PrdAdActif!$F:$F,adProjCdCanton,PrdAdActif!$D:$D,adProjIteration,PrdAdActif!$I:$I,"1.Perf")</f>
        <v>0</v>
      </c>
      <c r="AP24" s="15">
        <f>SUMIFS(PrdAdActif!$M:$M,PrdAdActif!$B:$B,adProjChocS2,PrdAdActif!$C:$C,adProjScenario,PrdAdActif!$F:$F,adProjCdCanton,PrdAdActif!$D:$D,adProjIteration,PrdAdActif!$I:$I,"1.Perf")</f>
        <v>0</v>
      </c>
      <c r="AQ24" s="15">
        <f>SUMIFS(PrdAdActif!$M:$M,PrdAdActif!$B:$B,adProjChocS2,PrdAdActif!$C:$C,adProjScenario,PrdAdActif!$F:$F,adProjCdCanton,PrdAdActif!$D:$D,adProjIteration,PrdAdActif!$I:$I,"1.Perf")</f>
        <v>0</v>
      </c>
      <c r="AR24" s="15">
        <f>SUMIFS(PrdAdActif!$M:$M,PrdAdActif!$B:$B,adProjChocS2,PrdAdActif!$C:$C,adProjScenario,PrdAdActif!$F:$F,adProjCdCanton,PrdAdActif!$D:$D,adProjIteration,PrdAdActif!$I:$I,"1.Perf")</f>
        <v>0</v>
      </c>
      <c r="AS24" s="15">
        <f>SUMIFS(PrdAdActif!$M:$M,PrdAdActif!$B:$B,adProjChocS2,PrdAdActif!$C:$C,adProjScenario,PrdAdActif!$F:$F,adProjCdCanton,PrdAdActif!$D:$D,adProjIteration,PrdAdActif!$I:$I,"1.Perf")</f>
        <v>0</v>
      </c>
      <c r="AT24" s="15">
        <f>SUMIFS(PrdAdActif!$M:$M,PrdAdActif!$B:$B,adProjChocS2,PrdAdActif!$C:$C,adProjScenario,PrdAdActif!$F:$F,adProjCdCanton,PrdAdActif!$D:$D,adProjIteration,PrdAdActif!$I:$I,"1.Perf")</f>
        <v>0</v>
      </c>
      <c r="AU24" s="15">
        <f>SUMIFS(PrdAdActif!$M:$M,PrdAdActif!$B:$B,adProjChocS2,PrdAdActif!$C:$C,adProjScenario,PrdAdActif!$F:$F,adProjCdCanton,PrdAdActif!$D:$D,adProjIteration,PrdAdActif!$I:$I,"1.Perf")</f>
        <v>0</v>
      </c>
      <c r="AV24" s="15">
        <f>SUMIFS(PrdAdActif!$M:$M,PrdAdActif!$B:$B,adProjChocS2,PrdAdActif!$C:$C,adProjScenario,PrdAdActif!$F:$F,adProjCdCanton,PrdAdActif!$D:$D,adProjIteration,PrdAdActif!$I:$I,"1.Perf")</f>
        <v>0</v>
      </c>
      <c r="AW24" s="15">
        <f>SUMIFS(PrdAdActif!$M:$M,PrdAdActif!$B:$B,adProjChocS2,PrdAdActif!$C:$C,adProjScenario,PrdAdActif!$F:$F,adProjCdCanton,PrdAdActif!$D:$D,adProjIteration,PrdAdActif!$I:$I,"1.Perf")</f>
        <v>0</v>
      </c>
      <c r="AX24" s="15">
        <f>SUMIFS(PrdAdActif!$M:$M,PrdAdActif!$B:$B,adProjChocS2,PrdAdActif!$C:$C,adProjScenario,PrdAdActif!$F:$F,adProjCdCanton,PrdAdActif!$D:$D,adProjIteration,PrdAdActif!$I:$I,"1.Perf")</f>
        <v>0</v>
      </c>
      <c r="AY24" s="15">
        <f>SUMIFS(PrdAdActif!$M:$M,PrdAdActif!$B:$B,adProjChocS2,PrdAdActif!$C:$C,adProjScenario,PrdAdActif!$F:$F,adProjCdCanton,PrdAdActif!$D:$D,adProjIteration,PrdAdActif!$I:$I,"1.Perf")</f>
        <v>0</v>
      </c>
      <c r="AZ24" s="15">
        <f>SUMIFS(PrdAdActif!$M:$M,PrdAdActif!$B:$B,adProjChocS2,PrdAdActif!$C:$C,adProjScenario,PrdAdActif!$F:$F,adProjCdCanton,PrdAdActif!$D:$D,adProjIteration,PrdAdActif!$I:$I,"1.Perf")</f>
        <v>0</v>
      </c>
      <c r="BA24" s="15">
        <f>SUMIFS(PrdAdActif!$M:$M,PrdAdActif!$B:$B,adProjChocS2,PrdAdActif!$C:$C,adProjScenario,PrdAdActif!$F:$F,adProjCdCanton,PrdAdActif!$D:$D,adProjIteration,PrdAdActif!$I:$I,"1.Perf")</f>
        <v>0</v>
      </c>
      <c r="BB24" s="15">
        <f>SUMIFS(PrdAdActif!$M:$M,PrdAdActif!$B:$B,adProjChocS2,PrdAdActif!$C:$C,adProjScenario,PrdAdActif!$F:$F,adProjCdCanton,PrdAdActif!$D:$D,adProjIteration,PrdAdActif!$I:$I,"1.Perf")</f>
        <v>0</v>
      </c>
    </row>
    <row r="25" spans="2:54" ht="16.5" x14ac:dyDescent="0.3">
      <c r="B25" s="17"/>
      <c r="C25" s="18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</row>
    <row r="26" spans="2:54" ht="16.5" x14ac:dyDescent="0.3">
      <c r="B26" s="17"/>
      <c r="C26" s="14" t="s">
        <v>22</v>
      </c>
      <c r="D26" s="15">
        <f>SUMIFS(PrdAdActif!$O:$O,PrdAdActif!$B:$B,adProjChocS2,PrdAdActif!$C:$C,adProjScenario,PrdAdActif!$F:$F,adProjCdCanton,PrdAdActif!$G:$G,"OBLIGATION",PrdAdActif!$D:$D,adProjIteration,PrdAdActif!$I:$I,"1.Perf")</f>
        <v>0</v>
      </c>
      <c r="E26" s="15">
        <f>SUMIFS(PrdAdActif!$O:$O,PrdAdActif!$B:$B,adProjChocS2,PrdAdActif!$C:$C,adProjScenario,PrdAdActif!$F:$F,adProjCdCanton,PrdAdActif!$G:$G,"OBLIGATION",PrdAdActif!$D:$D,adProjIteration,PrdAdActif!$I:$I,"1.Perf")</f>
        <v>0</v>
      </c>
      <c r="F26" s="15">
        <f>SUMIFS(PrdAdActif!$O:$O,PrdAdActif!$B:$B,adProjChocS2,PrdAdActif!$C:$C,adProjScenario,PrdAdActif!$F:$F,adProjCdCanton,PrdAdActif!$G:$G,"OBLIGATION",PrdAdActif!$D:$D,adProjIteration,PrdAdActif!$I:$I,"1.Perf")</f>
        <v>0</v>
      </c>
      <c r="G26" s="15">
        <f>SUMIFS(PrdAdActif!$O:$O,PrdAdActif!$B:$B,adProjChocS2,PrdAdActif!$C:$C,adProjScenario,PrdAdActif!$F:$F,adProjCdCanton,PrdAdActif!$G:$G,"OBLIGATION",PrdAdActif!$D:$D,adProjIteration,PrdAdActif!$I:$I,"1.Perf")</f>
        <v>0</v>
      </c>
      <c r="H26" s="15">
        <f>SUMIFS(PrdAdActif!$O:$O,PrdAdActif!$B:$B,adProjChocS2,PrdAdActif!$C:$C,adProjScenario,PrdAdActif!$F:$F,adProjCdCanton,PrdAdActif!$G:$G,"OBLIGATION",PrdAdActif!$D:$D,adProjIteration,PrdAdActif!$I:$I,"1.Perf")</f>
        <v>0</v>
      </c>
      <c r="I26" s="15">
        <f>SUMIFS(PrdAdActif!$O:$O,PrdAdActif!$B:$B,adProjChocS2,PrdAdActif!$C:$C,adProjScenario,PrdAdActif!$F:$F,adProjCdCanton,PrdAdActif!$G:$G,"OBLIGATION",PrdAdActif!$D:$D,adProjIteration,PrdAdActif!$I:$I,"1.Perf")</f>
        <v>0</v>
      </c>
      <c r="J26" s="15">
        <f>SUMIFS(PrdAdActif!$O:$O,PrdAdActif!$B:$B,adProjChocS2,PrdAdActif!$C:$C,adProjScenario,PrdAdActif!$F:$F,adProjCdCanton,PrdAdActif!$G:$G,"OBLIGATION",PrdAdActif!$D:$D,adProjIteration,PrdAdActif!$I:$I,"1.Perf")</f>
        <v>0</v>
      </c>
      <c r="K26" s="15">
        <f>SUMIFS(PrdAdActif!$O:$O,PrdAdActif!$B:$B,adProjChocS2,PrdAdActif!$C:$C,adProjScenario,PrdAdActif!$F:$F,adProjCdCanton,PrdAdActif!$G:$G,"OBLIGATION",PrdAdActif!$D:$D,adProjIteration,PrdAdActif!$I:$I,"1.Perf")</f>
        <v>0</v>
      </c>
      <c r="L26" s="15">
        <f>SUMIFS(PrdAdActif!$O:$O,PrdAdActif!$B:$B,adProjChocS2,PrdAdActif!$C:$C,adProjScenario,PrdAdActif!$F:$F,adProjCdCanton,PrdAdActif!$G:$G,"OBLIGATION",PrdAdActif!$D:$D,adProjIteration,PrdAdActif!$I:$I,"1.Perf")</f>
        <v>0</v>
      </c>
      <c r="M26" s="15">
        <f>SUMIFS(PrdAdActif!$O:$O,PrdAdActif!$B:$B,adProjChocS2,PrdAdActif!$C:$C,adProjScenario,PrdAdActif!$F:$F,adProjCdCanton,PrdAdActif!$G:$G,"OBLIGATION",PrdAdActif!$D:$D,adProjIteration,PrdAdActif!$I:$I,"1.Perf")</f>
        <v>0</v>
      </c>
      <c r="N26" s="15">
        <f>SUMIFS(PrdAdActif!$O:$O,PrdAdActif!$B:$B,adProjChocS2,PrdAdActif!$C:$C,adProjScenario,PrdAdActif!$F:$F,adProjCdCanton,PrdAdActif!$G:$G,"OBLIGATION",PrdAdActif!$D:$D,adProjIteration,PrdAdActif!$I:$I,"1.Perf")</f>
        <v>0</v>
      </c>
      <c r="O26" s="15">
        <f>SUMIFS(PrdAdActif!$O:$O,PrdAdActif!$B:$B,adProjChocS2,PrdAdActif!$C:$C,adProjScenario,PrdAdActif!$F:$F,adProjCdCanton,PrdAdActif!$G:$G,"OBLIGATION",PrdAdActif!$D:$D,adProjIteration,PrdAdActif!$I:$I,"1.Perf")</f>
        <v>0</v>
      </c>
      <c r="P26" s="15">
        <f>SUMIFS(PrdAdActif!$O:$O,PrdAdActif!$B:$B,adProjChocS2,PrdAdActif!$C:$C,adProjScenario,PrdAdActif!$F:$F,adProjCdCanton,PrdAdActif!$G:$G,"OBLIGATION",PrdAdActif!$D:$D,adProjIteration,PrdAdActif!$I:$I,"1.Perf")</f>
        <v>0</v>
      </c>
      <c r="Q26" s="15">
        <f>SUMIFS(PrdAdActif!$O:$O,PrdAdActif!$B:$B,adProjChocS2,PrdAdActif!$C:$C,adProjScenario,PrdAdActif!$F:$F,adProjCdCanton,PrdAdActif!$G:$G,"OBLIGATION",PrdAdActif!$D:$D,adProjIteration,PrdAdActif!$I:$I,"1.Perf")</f>
        <v>0</v>
      </c>
      <c r="R26" s="15">
        <f>SUMIFS(PrdAdActif!$O:$O,PrdAdActif!$B:$B,adProjChocS2,PrdAdActif!$C:$C,adProjScenario,PrdAdActif!$F:$F,adProjCdCanton,PrdAdActif!$G:$G,"OBLIGATION",PrdAdActif!$D:$D,adProjIteration,PrdAdActif!$I:$I,"1.Perf")</f>
        <v>0</v>
      </c>
      <c r="S26" s="15">
        <f>SUMIFS(PrdAdActif!$O:$O,PrdAdActif!$B:$B,adProjChocS2,PrdAdActif!$C:$C,adProjScenario,PrdAdActif!$F:$F,adProjCdCanton,PrdAdActif!$G:$G,"OBLIGATION",PrdAdActif!$D:$D,adProjIteration,PrdAdActif!$I:$I,"1.Perf")</f>
        <v>0</v>
      </c>
      <c r="T26" s="15">
        <f>SUMIFS(PrdAdActif!$O:$O,PrdAdActif!$B:$B,adProjChocS2,PrdAdActif!$C:$C,adProjScenario,PrdAdActif!$F:$F,adProjCdCanton,PrdAdActif!$G:$G,"OBLIGATION",PrdAdActif!$D:$D,adProjIteration,PrdAdActif!$I:$I,"1.Perf")</f>
        <v>0</v>
      </c>
      <c r="U26" s="15">
        <f>SUMIFS(PrdAdActif!$O:$O,PrdAdActif!$B:$B,adProjChocS2,PrdAdActif!$C:$C,adProjScenario,PrdAdActif!$F:$F,adProjCdCanton,PrdAdActif!$G:$G,"OBLIGATION",PrdAdActif!$D:$D,adProjIteration,PrdAdActif!$I:$I,"1.Perf")</f>
        <v>0</v>
      </c>
      <c r="V26" s="15">
        <f>SUMIFS(PrdAdActif!$O:$O,PrdAdActif!$B:$B,adProjChocS2,PrdAdActif!$C:$C,adProjScenario,PrdAdActif!$F:$F,adProjCdCanton,PrdAdActif!$G:$G,"OBLIGATION",PrdAdActif!$D:$D,adProjIteration,PrdAdActif!$I:$I,"1.Perf")</f>
        <v>0</v>
      </c>
      <c r="W26" s="15">
        <f>SUMIFS(PrdAdActif!$O:$O,PrdAdActif!$B:$B,adProjChocS2,PrdAdActif!$C:$C,adProjScenario,PrdAdActif!$F:$F,adProjCdCanton,PrdAdActif!$G:$G,"OBLIGATION",PrdAdActif!$D:$D,adProjIteration,PrdAdActif!$I:$I,"1.Perf")</f>
        <v>0</v>
      </c>
      <c r="X26" s="15">
        <f>SUMIFS(PrdAdActif!$O:$O,PrdAdActif!$B:$B,adProjChocS2,PrdAdActif!$C:$C,adProjScenario,PrdAdActif!$F:$F,adProjCdCanton,PrdAdActif!$G:$G,"OBLIGATION",PrdAdActif!$D:$D,adProjIteration,PrdAdActif!$I:$I,"1.Perf")</f>
        <v>0</v>
      </c>
      <c r="Y26" s="15">
        <f>SUMIFS(PrdAdActif!$O:$O,PrdAdActif!$B:$B,adProjChocS2,PrdAdActif!$C:$C,adProjScenario,PrdAdActif!$F:$F,adProjCdCanton,PrdAdActif!$G:$G,"OBLIGATION",PrdAdActif!$D:$D,adProjIteration,PrdAdActif!$I:$I,"1.Perf")</f>
        <v>0</v>
      </c>
      <c r="Z26" s="15">
        <f>SUMIFS(PrdAdActif!$O:$O,PrdAdActif!$B:$B,adProjChocS2,PrdAdActif!$C:$C,adProjScenario,PrdAdActif!$F:$F,adProjCdCanton,PrdAdActif!$G:$G,"OBLIGATION",PrdAdActif!$D:$D,adProjIteration,PrdAdActif!$I:$I,"1.Perf")</f>
        <v>0</v>
      </c>
      <c r="AA26" s="15">
        <f>SUMIFS(PrdAdActif!$O:$O,PrdAdActif!$B:$B,adProjChocS2,PrdAdActif!$C:$C,adProjScenario,PrdAdActif!$F:$F,adProjCdCanton,PrdAdActif!$G:$G,"OBLIGATION",PrdAdActif!$D:$D,adProjIteration,PrdAdActif!$I:$I,"1.Perf")</f>
        <v>0</v>
      </c>
      <c r="AB26" s="15">
        <f>SUMIFS(PrdAdActif!$O:$O,PrdAdActif!$B:$B,adProjChocS2,PrdAdActif!$C:$C,adProjScenario,PrdAdActif!$F:$F,adProjCdCanton,PrdAdActif!$G:$G,"OBLIGATION",PrdAdActif!$D:$D,adProjIteration,PrdAdActif!$I:$I,"1.Perf")</f>
        <v>0</v>
      </c>
      <c r="AC26" s="15">
        <f>SUMIFS(PrdAdActif!$O:$O,PrdAdActif!$B:$B,adProjChocS2,PrdAdActif!$C:$C,adProjScenario,PrdAdActif!$F:$F,adProjCdCanton,PrdAdActif!$G:$G,"OBLIGATION",PrdAdActif!$D:$D,adProjIteration,PrdAdActif!$I:$I,"1.Perf")</f>
        <v>0</v>
      </c>
      <c r="AD26" s="15">
        <f>SUMIFS(PrdAdActif!$O:$O,PrdAdActif!$B:$B,adProjChocS2,PrdAdActif!$C:$C,adProjScenario,PrdAdActif!$F:$F,adProjCdCanton,PrdAdActif!$G:$G,"OBLIGATION",PrdAdActif!$D:$D,adProjIteration,PrdAdActif!$I:$I,"1.Perf")</f>
        <v>0</v>
      </c>
      <c r="AE26" s="15">
        <f>SUMIFS(PrdAdActif!$O:$O,PrdAdActif!$B:$B,adProjChocS2,PrdAdActif!$C:$C,adProjScenario,PrdAdActif!$F:$F,adProjCdCanton,PrdAdActif!$G:$G,"OBLIGATION",PrdAdActif!$D:$D,adProjIteration,PrdAdActif!$I:$I,"1.Perf")</f>
        <v>0</v>
      </c>
      <c r="AF26" s="15">
        <f>SUMIFS(PrdAdActif!$O:$O,PrdAdActif!$B:$B,adProjChocS2,PrdAdActif!$C:$C,adProjScenario,PrdAdActif!$F:$F,adProjCdCanton,PrdAdActif!$G:$G,"OBLIGATION",PrdAdActif!$D:$D,adProjIteration,PrdAdActif!$I:$I,"1.Perf")</f>
        <v>0</v>
      </c>
      <c r="AG26" s="15">
        <f>SUMIFS(PrdAdActif!$O:$O,PrdAdActif!$B:$B,adProjChocS2,PrdAdActif!$C:$C,adProjScenario,PrdAdActif!$F:$F,adProjCdCanton,PrdAdActif!$G:$G,"OBLIGATION",PrdAdActif!$D:$D,adProjIteration,PrdAdActif!$I:$I,"1.Perf")</f>
        <v>0</v>
      </c>
      <c r="AH26" s="15">
        <f>SUMIFS(PrdAdActif!$O:$O,PrdAdActif!$B:$B,adProjChocS2,PrdAdActif!$C:$C,adProjScenario,PrdAdActif!$F:$F,adProjCdCanton,PrdAdActif!$G:$G,"OBLIGATION",PrdAdActif!$D:$D,adProjIteration,PrdAdActif!$I:$I,"1.Perf")</f>
        <v>0</v>
      </c>
      <c r="AI26" s="15">
        <f>SUMIFS(PrdAdActif!$O:$O,PrdAdActif!$B:$B,adProjChocS2,PrdAdActif!$C:$C,adProjScenario,PrdAdActif!$F:$F,adProjCdCanton,PrdAdActif!$G:$G,"OBLIGATION",PrdAdActif!$D:$D,adProjIteration,PrdAdActif!$I:$I,"1.Perf")</f>
        <v>0</v>
      </c>
      <c r="AJ26" s="15">
        <f>SUMIFS(PrdAdActif!$O:$O,PrdAdActif!$B:$B,adProjChocS2,PrdAdActif!$C:$C,adProjScenario,PrdAdActif!$F:$F,adProjCdCanton,PrdAdActif!$G:$G,"OBLIGATION",PrdAdActif!$D:$D,adProjIteration,PrdAdActif!$I:$I,"1.Perf")</f>
        <v>0</v>
      </c>
      <c r="AK26" s="15">
        <f>SUMIFS(PrdAdActif!$O:$O,PrdAdActif!$B:$B,adProjChocS2,PrdAdActif!$C:$C,adProjScenario,PrdAdActif!$F:$F,adProjCdCanton,PrdAdActif!$G:$G,"OBLIGATION",PrdAdActif!$D:$D,adProjIteration,PrdAdActif!$I:$I,"1.Perf")</f>
        <v>0</v>
      </c>
      <c r="AL26" s="15">
        <f>SUMIFS(PrdAdActif!$O:$O,PrdAdActif!$B:$B,adProjChocS2,PrdAdActif!$C:$C,adProjScenario,PrdAdActif!$F:$F,adProjCdCanton,PrdAdActif!$G:$G,"OBLIGATION",PrdAdActif!$D:$D,adProjIteration,PrdAdActif!$I:$I,"1.Perf")</f>
        <v>0</v>
      </c>
      <c r="AM26" s="15">
        <f>SUMIFS(PrdAdActif!$O:$O,PrdAdActif!$B:$B,adProjChocS2,PrdAdActif!$C:$C,adProjScenario,PrdAdActif!$F:$F,adProjCdCanton,PrdAdActif!$G:$G,"OBLIGATION",PrdAdActif!$D:$D,adProjIteration,PrdAdActif!$I:$I,"1.Perf")</f>
        <v>0</v>
      </c>
      <c r="AN26" s="15">
        <f>SUMIFS(PrdAdActif!$O:$O,PrdAdActif!$B:$B,adProjChocS2,PrdAdActif!$C:$C,adProjScenario,PrdAdActif!$F:$F,adProjCdCanton,PrdAdActif!$G:$G,"OBLIGATION",PrdAdActif!$D:$D,adProjIteration,PrdAdActif!$I:$I,"1.Perf")</f>
        <v>0</v>
      </c>
      <c r="AO26" s="15">
        <f>SUMIFS(PrdAdActif!$O:$O,PrdAdActif!$B:$B,adProjChocS2,PrdAdActif!$C:$C,adProjScenario,PrdAdActif!$F:$F,adProjCdCanton,PrdAdActif!$G:$G,"OBLIGATION",PrdAdActif!$D:$D,adProjIteration,PrdAdActif!$I:$I,"1.Perf")</f>
        <v>0</v>
      </c>
      <c r="AP26" s="15">
        <f>SUMIFS(PrdAdActif!$O:$O,PrdAdActif!$B:$B,adProjChocS2,PrdAdActif!$C:$C,adProjScenario,PrdAdActif!$F:$F,adProjCdCanton,PrdAdActif!$G:$G,"OBLIGATION",PrdAdActif!$D:$D,adProjIteration,PrdAdActif!$I:$I,"1.Perf")</f>
        <v>0</v>
      </c>
      <c r="AQ26" s="15">
        <f>SUMIFS(PrdAdActif!$O:$O,PrdAdActif!$B:$B,adProjChocS2,PrdAdActif!$C:$C,adProjScenario,PrdAdActif!$F:$F,adProjCdCanton,PrdAdActif!$G:$G,"OBLIGATION",PrdAdActif!$D:$D,adProjIteration,PrdAdActif!$I:$I,"1.Perf")</f>
        <v>0</v>
      </c>
      <c r="AR26" s="15">
        <f>SUMIFS(PrdAdActif!$O:$O,PrdAdActif!$B:$B,adProjChocS2,PrdAdActif!$C:$C,adProjScenario,PrdAdActif!$F:$F,adProjCdCanton,PrdAdActif!$G:$G,"OBLIGATION",PrdAdActif!$D:$D,adProjIteration,PrdAdActif!$I:$I,"1.Perf")</f>
        <v>0</v>
      </c>
      <c r="AS26" s="15">
        <f>SUMIFS(PrdAdActif!$O:$O,PrdAdActif!$B:$B,adProjChocS2,PrdAdActif!$C:$C,adProjScenario,PrdAdActif!$F:$F,adProjCdCanton,PrdAdActif!$G:$G,"OBLIGATION",PrdAdActif!$D:$D,adProjIteration,PrdAdActif!$I:$I,"1.Perf")</f>
        <v>0</v>
      </c>
      <c r="AT26" s="15">
        <f>SUMIFS(PrdAdActif!$O:$O,PrdAdActif!$B:$B,adProjChocS2,PrdAdActif!$C:$C,adProjScenario,PrdAdActif!$F:$F,adProjCdCanton,PrdAdActif!$G:$G,"OBLIGATION",PrdAdActif!$D:$D,adProjIteration,PrdAdActif!$I:$I,"1.Perf")</f>
        <v>0</v>
      </c>
      <c r="AU26" s="15">
        <f>SUMIFS(PrdAdActif!$O:$O,PrdAdActif!$B:$B,adProjChocS2,PrdAdActif!$C:$C,adProjScenario,PrdAdActif!$F:$F,adProjCdCanton,PrdAdActif!$G:$G,"OBLIGATION",PrdAdActif!$D:$D,adProjIteration,PrdAdActif!$I:$I,"1.Perf")</f>
        <v>0</v>
      </c>
      <c r="AV26" s="15">
        <f>SUMIFS(PrdAdActif!$O:$O,PrdAdActif!$B:$B,adProjChocS2,PrdAdActif!$C:$C,adProjScenario,PrdAdActif!$F:$F,adProjCdCanton,PrdAdActif!$G:$G,"OBLIGATION",PrdAdActif!$D:$D,adProjIteration,PrdAdActif!$I:$I,"1.Perf")</f>
        <v>0</v>
      </c>
      <c r="AW26" s="15">
        <f>SUMIFS(PrdAdActif!$O:$O,PrdAdActif!$B:$B,adProjChocS2,PrdAdActif!$C:$C,adProjScenario,PrdAdActif!$F:$F,adProjCdCanton,PrdAdActif!$G:$G,"OBLIGATION",PrdAdActif!$D:$D,adProjIteration,PrdAdActif!$I:$I,"1.Perf")</f>
        <v>0</v>
      </c>
      <c r="AX26" s="15">
        <f>SUMIFS(PrdAdActif!$O:$O,PrdAdActif!$B:$B,adProjChocS2,PrdAdActif!$C:$C,adProjScenario,PrdAdActif!$F:$F,adProjCdCanton,PrdAdActif!$G:$G,"OBLIGATION",PrdAdActif!$D:$D,adProjIteration,PrdAdActif!$I:$I,"1.Perf")</f>
        <v>0</v>
      </c>
      <c r="AY26" s="15">
        <f>SUMIFS(PrdAdActif!$O:$O,PrdAdActif!$B:$B,adProjChocS2,PrdAdActif!$C:$C,adProjScenario,PrdAdActif!$F:$F,adProjCdCanton,PrdAdActif!$G:$G,"OBLIGATION",PrdAdActif!$D:$D,adProjIteration,PrdAdActif!$I:$I,"1.Perf")</f>
        <v>0</v>
      </c>
      <c r="AZ26" s="15">
        <f>SUMIFS(PrdAdActif!$O:$O,PrdAdActif!$B:$B,adProjChocS2,PrdAdActif!$C:$C,adProjScenario,PrdAdActif!$F:$F,adProjCdCanton,PrdAdActif!$G:$G,"OBLIGATION",PrdAdActif!$D:$D,adProjIteration,PrdAdActif!$I:$I,"1.Perf")</f>
        <v>0</v>
      </c>
      <c r="BA26" s="15">
        <f>SUMIFS(PrdAdActif!$O:$O,PrdAdActif!$B:$B,adProjChocS2,PrdAdActif!$C:$C,adProjScenario,PrdAdActif!$F:$F,adProjCdCanton,PrdAdActif!$G:$G,"OBLIGATION",PrdAdActif!$D:$D,adProjIteration,PrdAdActif!$I:$I,"1.Perf")</f>
        <v>0</v>
      </c>
      <c r="BB26" s="15">
        <f>SUMIFS(PrdAdActif!$O:$O,PrdAdActif!$B:$B,adProjChocS2,PrdAdActif!$C:$C,adProjScenario,PrdAdActif!$F:$F,adProjCdCanton,PrdAdActif!$G:$G,"OBLIGATION",PrdAdActif!$D:$D,adProjIteration,PrdAdActif!$I:$I,"1.Perf")</f>
        <v>0</v>
      </c>
    </row>
    <row r="27" spans="2:54" ht="16.5" x14ac:dyDescent="0.3">
      <c r="B27" s="17"/>
      <c r="C27" s="14" t="s">
        <v>23</v>
      </c>
      <c r="D27" s="15">
        <f>SUMIFS(PrdAdActif!$O:$O,PrdAdActif!$B:$B,adProjChocS2,PrdAdActif!$C:$C,adProjScenario,PrdAdActif!$F:$F,adProjCdCanton,PrdAdActif!$G:$G,"IMMOBILIER",PrdAdActif!$D:$D,adProjIteration,PrdAdActif!$I:$I,"1.Perf")</f>
        <v>0</v>
      </c>
      <c r="E27" s="15">
        <f>SUMIFS(PrdAdActif!$O:$O,PrdAdActif!$B:$B,adProjChocS2,PrdAdActif!$C:$C,adProjScenario,PrdAdActif!$F:$F,adProjCdCanton,PrdAdActif!$G:$G,"IMMOBILIER",PrdAdActif!$D:$D,adProjIteration,PrdAdActif!$I:$I,"1.Perf")</f>
        <v>0</v>
      </c>
      <c r="F27" s="15">
        <f>SUMIFS(PrdAdActif!$O:$O,PrdAdActif!$B:$B,adProjChocS2,PrdAdActif!$C:$C,adProjScenario,PrdAdActif!$F:$F,adProjCdCanton,PrdAdActif!$G:$G,"IMMOBILIER",PrdAdActif!$D:$D,adProjIteration,PrdAdActif!$I:$I,"1.Perf")</f>
        <v>0</v>
      </c>
      <c r="G27" s="15">
        <f>SUMIFS(PrdAdActif!$O:$O,PrdAdActif!$B:$B,adProjChocS2,PrdAdActif!$C:$C,adProjScenario,PrdAdActif!$F:$F,adProjCdCanton,PrdAdActif!$G:$G,"IMMOBILIER",PrdAdActif!$D:$D,adProjIteration,PrdAdActif!$I:$I,"1.Perf")</f>
        <v>0</v>
      </c>
      <c r="H27" s="15">
        <f>SUMIFS(PrdAdActif!$O:$O,PrdAdActif!$B:$B,adProjChocS2,PrdAdActif!$C:$C,adProjScenario,PrdAdActif!$F:$F,adProjCdCanton,PrdAdActif!$G:$G,"IMMOBILIER",PrdAdActif!$D:$D,adProjIteration,PrdAdActif!$I:$I,"1.Perf")</f>
        <v>0</v>
      </c>
      <c r="I27" s="15">
        <f>SUMIFS(PrdAdActif!$O:$O,PrdAdActif!$B:$B,adProjChocS2,PrdAdActif!$C:$C,adProjScenario,PrdAdActif!$F:$F,adProjCdCanton,PrdAdActif!$G:$G,"IMMOBILIER",PrdAdActif!$D:$D,adProjIteration,PrdAdActif!$I:$I,"1.Perf")</f>
        <v>0</v>
      </c>
      <c r="J27" s="15">
        <f>SUMIFS(PrdAdActif!$O:$O,PrdAdActif!$B:$B,adProjChocS2,PrdAdActif!$C:$C,adProjScenario,PrdAdActif!$F:$F,adProjCdCanton,PrdAdActif!$G:$G,"IMMOBILIER",PrdAdActif!$D:$D,adProjIteration,PrdAdActif!$I:$I,"1.Perf")</f>
        <v>0</v>
      </c>
      <c r="K27" s="15">
        <f>SUMIFS(PrdAdActif!$O:$O,PrdAdActif!$B:$B,adProjChocS2,PrdAdActif!$C:$C,adProjScenario,PrdAdActif!$F:$F,adProjCdCanton,PrdAdActif!$G:$G,"IMMOBILIER",PrdAdActif!$D:$D,adProjIteration,PrdAdActif!$I:$I,"1.Perf")</f>
        <v>0</v>
      </c>
      <c r="L27" s="15">
        <f>SUMIFS(PrdAdActif!$O:$O,PrdAdActif!$B:$B,adProjChocS2,PrdAdActif!$C:$C,adProjScenario,PrdAdActif!$F:$F,adProjCdCanton,PrdAdActif!$G:$G,"IMMOBILIER",PrdAdActif!$D:$D,adProjIteration,PrdAdActif!$I:$I,"1.Perf")</f>
        <v>0</v>
      </c>
      <c r="M27" s="15">
        <f>SUMIFS(PrdAdActif!$O:$O,PrdAdActif!$B:$B,adProjChocS2,PrdAdActif!$C:$C,adProjScenario,PrdAdActif!$F:$F,adProjCdCanton,PrdAdActif!$G:$G,"IMMOBILIER",PrdAdActif!$D:$D,adProjIteration,PrdAdActif!$I:$I,"1.Perf")</f>
        <v>0</v>
      </c>
      <c r="N27" s="15">
        <f>SUMIFS(PrdAdActif!$O:$O,PrdAdActif!$B:$B,adProjChocS2,PrdAdActif!$C:$C,adProjScenario,PrdAdActif!$F:$F,adProjCdCanton,PrdAdActif!$G:$G,"IMMOBILIER",PrdAdActif!$D:$D,adProjIteration,PrdAdActif!$I:$I,"1.Perf")</f>
        <v>0</v>
      </c>
      <c r="O27" s="15">
        <f>SUMIFS(PrdAdActif!$O:$O,PrdAdActif!$B:$B,adProjChocS2,PrdAdActif!$C:$C,adProjScenario,PrdAdActif!$F:$F,adProjCdCanton,PrdAdActif!$G:$G,"IMMOBILIER",PrdAdActif!$D:$D,adProjIteration,PrdAdActif!$I:$I,"1.Perf")</f>
        <v>0</v>
      </c>
      <c r="P27" s="15">
        <f>SUMIFS(PrdAdActif!$O:$O,PrdAdActif!$B:$B,adProjChocS2,PrdAdActif!$C:$C,adProjScenario,PrdAdActif!$F:$F,adProjCdCanton,PrdAdActif!$G:$G,"IMMOBILIER",PrdAdActif!$D:$D,adProjIteration,PrdAdActif!$I:$I,"1.Perf")</f>
        <v>0</v>
      </c>
      <c r="Q27" s="15">
        <f>SUMIFS(PrdAdActif!$O:$O,PrdAdActif!$B:$B,adProjChocS2,PrdAdActif!$C:$C,adProjScenario,PrdAdActif!$F:$F,adProjCdCanton,PrdAdActif!$G:$G,"IMMOBILIER",PrdAdActif!$D:$D,adProjIteration,PrdAdActif!$I:$I,"1.Perf")</f>
        <v>0</v>
      </c>
      <c r="R27" s="15">
        <f>SUMIFS(PrdAdActif!$O:$O,PrdAdActif!$B:$B,adProjChocS2,PrdAdActif!$C:$C,adProjScenario,PrdAdActif!$F:$F,adProjCdCanton,PrdAdActif!$G:$G,"IMMOBILIER",PrdAdActif!$D:$D,adProjIteration,PrdAdActif!$I:$I,"1.Perf")</f>
        <v>0</v>
      </c>
      <c r="S27" s="15">
        <f>SUMIFS(PrdAdActif!$O:$O,PrdAdActif!$B:$B,adProjChocS2,PrdAdActif!$C:$C,adProjScenario,PrdAdActif!$F:$F,adProjCdCanton,PrdAdActif!$G:$G,"IMMOBILIER",PrdAdActif!$D:$D,adProjIteration,PrdAdActif!$I:$I,"1.Perf")</f>
        <v>0</v>
      </c>
      <c r="T27" s="15">
        <f>SUMIFS(PrdAdActif!$O:$O,PrdAdActif!$B:$B,adProjChocS2,PrdAdActif!$C:$C,adProjScenario,PrdAdActif!$F:$F,adProjCdCanton,PrdAdActif!$G:$G,"IMMOBILIER",PrdAdActif!$D:$D,adProjIteration,PrdAdActif!$I:$I,"1.Perf")</f>
        <v>0</v>
      </c>
      <c r="U27" s="15">
        <f>SUMIFS(PrdAdActif!$O:$O,PrdAdActif!$B:$B,adProjChocS2,PrdAdActif!$C:$C,adProjScenario,PrdAdActif!$F:$F,adProjCdCanton,PrdAdActif!$G:$G,"IMMOBILIER",PrdAdActif!$D:$D,adProjIteration,PrdAdActif!$I:$I,"1.Perf")</f>
        <v>0</v>
      </c>
      <c r="V27" s="15">
        <f>SUMIFS(PrdAdActif!$O:$O,PrdAdActif!$B:$B,adProjChocS2,PrdAdActif!$C:$C,adProjScenario,PrdAdActif!$F:$F,adProjCdCanton,PrdAdActif!$G:$G,"IMMOBILIER",PrdAdActif!$D:$D,adProjIteration,PrdAdActif!$I:$I,"1.Perf")</f>
        <v>0</v>
      </c>
      <c r="W27" s="15">
        <f>SUMIFS(PrdAdActif!$O:$O,PrdAdActif!$B:$B,adProjChocS2,PrdAdActif!$C:$C,adProjScenario,PrdAdActif!$F:$F,adProjCdCanton,PrdAdActif!$G:$G,"IMMOBILIER",PrdAdActif!$D:$D,adProjIteration,PrdAdActif!$I:$I,"1.Perf")</f>
        <v>0</v>
      </c>
      <c r="X27" s="15">
        <f>SUMIFS(PrdAdActif!$O:$O,PrdAdActif!$B:$B,adProjChocS2,PrdAdActif!$C:$C,adProjScenario,PrdAdActif!$F:$F,adProjCdCanton,PrdAdActif!$G:$G,"IMMOBILIER",PrdAdActif!$D:$D,adProjIteration,PrdAdActif!$I:$I,"1.Perf")</f>
        <v>0</v>
      </c>
      <c r="Y27" s="15">
        <f>SUMIFS(PrdAdActif!$O:$O,PrdAdActif!$B:$B,adProjChocS2,PrdAdActif!$C:$C,adProjScenario,PrdAdActif!$F:$F,adProjCdCanton,PrdAdActif!$G:$G,"IMMOBILIER",PrdAdActif!$D:$D,adProjIteration,PrdAdActif!$I:$I,"1.Perf")</f>
        <v>0</v>
      </c>
      <c r="Z27" s="15">
        <f>SUMIFS(PrdAdActif!$O:$O,PrdAdActif!$B:$B,adProjChocS2,PrdAdActif!$C:$C,adProjScenario,PrdAdActif!$F:$F,adProjCdCanton,PrdAdActif!$G:$G,"IMMOBILIER",PrdAdActif!$D:$D,adProjIteration,PrdAdActif!$I:$I,"1.Perf")</f>
        <v>0</v>
      </c>
      <c r="AA27" s="15">
        <f>SUMIFS(PrdAdActif!$O:$O,PrdAdActif!$B:$B,adProjChocS2,PrdAdActif!$C:$C,adProjScenario,PrdAdActif!$F:$F,adProjCdCanton,PrdAdActif!$G:$G,"IMMOBILIER",PrdAdActif!$D:$D,adProjIteration,PrdAdActif!$I:$I,"1.Perf")</f>
        <v>0</v>
      </c>
      <c r="AB27" s="15">
        <f>SUMIFS(PrdAdActif!$O:$O,PrdAdActif!$B:$B,adProjChocS2,PrdAdActif!$C:$C,adProjScenario,PrdAdActif!$F:$F,adProjCdCanton,PrdAdActif!$G:$G,"IMMOBILIER",PrdAdActif!$D:$D,adProjIteration,PrdAdActif!$I:$I,"1.Perf")</f>
        <v>0</v>
      </c>
      <c r="AC27" s="15">
        <f>SUMIFS(PrdAdActif!$O:$O,PrdAdActif!$B:$B,adProjChocS2,PrdAdActif!$C:$C,adProjScenario,PrdAdActif!$F:$F,adProjCdCanton,PrdAdActif!$G:$G,"IMMOBILIER",PrdAdActif!$D:$D,adProjIteration,PrdAdActif!$I:$I,"1.Perf")</f>
        <v>0</v>
      </c>
      <c r="AD27" s="15">
        <f>SUMIFS(PrdAdActif!$O:$O,PrdAdActif!$B:$B,adProjChocS2,PrdAdActif!$C:$C,adProjScenario,PrdAdActif!$F:$F,adProjCdCanton,PrdAdActif!$G:$G,"IMMOBILIER",PrdAdActif!$D:$D,adProjIteration,PrdAdActif!$I:$I,"1.Perf")</f>
        <v>0</v>
      </c>
      <c r="AE27" s="15">
        <f>SUMIFS(PrdAdActif!$O:$O,PrdAdActif!$B:$B,adProjChocS2,PrdAdActif!$C:$C,adProjScenario,PrdAdActif!$F:$F,adProjCdCanton,PrdAdActif!$G:$G,"IMMOBILIER",PrdAdActif!$D:$D,adProjIteration,PrdAdActif!$I:$I,"1.Perf")</f>
        <v>0</v>
      </c>
      <c r="AF27" s="15">
        <f>SUMIFS(PrdAdActif!$O:$O,PrdAdActif!$B:$B,adProjChocS2,PrdAdActif!$C:$C,adProjScenario,PrdAdActif!$F:$F,adProjCdCanton,PrdAdActif!$G:$G,"IMMOBILIER",PrdAdActif!$D:$D,adProjIteration,PrdAdActif!$I:$I,"1.Perf")</f>
        <v>0</v>
      </c>
      <c r="AG27" s="15">
        <f>SUMIFS(PrdAdActif!$O:$O,PrdAdActif!$B:$B,adProjChocS2,PrdAdActif!$C:$C,adProjScenario,PrdAdActif!$F:$F,adProjCdCanton,PrdAdActif!$G:$G,"IMMOBILIER",PrdAdActif!$D:$D,adProjIteration,PrdAdActif!$I:$I,"1.Perf")</f>
        <v>0</v>
      </c>
      <c r="AH27" s="15">
        <f>SUMIFS(PrdAdActif!$O:$O,PrdAdActif!$B:$B,adProjChocS2,PrdAdActif!$C:$C,adProjScenario,PrdAdActif!$F:$F,adProjCdCanton,PrdAdActif!$G:$G,"IMMOBILIER",PrdAdActif!$D:$D,adProjIteration,PrdAdActif!$I:$I,"1.Perf")</f>
        <v>0</v>
      </c>
      <c r="AI27" s="15">
        <f>SUMIFS(PrdAdActif!$O:$O,PrdAdActif!$B:$B,adProjChocS2,PrdAdActif!$C:$C,adProjScenario,PrdAdActif!$F:$F,adProjCdCanton,PrdAdActif!$G:$G,"IMMOBILIER",PrdAdActif!$D:$D,adProjIteration,PrdAdActif!$I:$I,"1.Perf")</f>
        <v>0</v>
      </c>
      <c r="AJ27" s="15">
        <f>SUMIFS(PrdAdActif!$O:$O,PrdAdActif!$B:$B,adProjChocS2,PrdAdActif!$C:$C,adProjScenario,PrdAdActif!$F:$F,adProjCdCanton,PrdAdActif!$G:$G,"IMMOBILIER",PrdAdActif!$D:$D,adProjIteration,PrdAdActif!$I:$I,"1.Perf")</f>
        <v>0</v>
      </c>
      <c r="AK27" s="15">
        <f>SUMIFS(PrdAdActif!$O:$O,PrdAdActif!$B:$B,adProjChocS2,PrdAdActif!$C:$C,adProjScenario,PrdAdActif!$F:$F,adProjCdCanton,PrdAdActif!$G:$G,"IMMOBILIER",PrdAdActif!$D:$D,adProjIteration,PrdAdActif!$I:$I,"1.Perf")</f>
        <v>0</v>
      </c>
      <c r="AL27" s="15">
        <f>SUMIFS(PrdAdActif!$O:$O,PrdAdActif!$B:$B,adProjChocS2,PrdAdActif!$C:$C,adProjScenario,PrdAdActif!$F:$F,adProjCdCanton,PrdAdActif!$G:$G,"IMMOBILIER",PrdAdActif!$D:$D,adProjIteration,PrdAdActif!$I:$I,"1.Perf")</f>
        <v>0</v>
      </c>
      <c r="AM27" s="15">
        <f>SUMIFS(PrdAdActif!$O:$O,PrdAdActif!$B:$B,adProjChocS2,PrdAdActif!$C:$C,adProjScenario,PrdAdActif!$F:$F,adProjCdCanton,PrdAdActif!$G:$G,"IMMOBILIER",PrdAdActif!$D:$D,adProjIteration,PrdAdActif!$I:$I,"1.Perf")</f>
        <v>0</v>
      </c>
      <c r="AN27" s="15">
        <f>SUMIFS(PrdAdActif!$O:$O,PrdAdActif!$B:$B,adProjChocS2,PrdAdActif!$C:$C,adProjScenario,PrdAdActif!$F:$F,adProjCdCanton,PrdAdActif!$G:$G,"IMMOBILIER",PrdAdActif!$D:$D,adProjIteration,PrdAdActif!$I:$I,"1.Perf")</f>
        <v>0</v>
      </c>
      <c r="AO27" s="15">
        <f>SUMIFS(PrdAdActif!$O:$O,PrdAdActif!$B:$B,adProjChocS2,PrdAdActif!$C:$C,adProjScenario,PrdAdActif!$F:$F,adProjCdCanton,PrdAdActif!$G:$G,"IMMOBILIER",PrdAdActif!$D:$D,adProjIteration,PrdAdActif!$I:$I,"1.Perf")</f>
        <v>0</v>
      </c>
      <c r="AP27" s="15">
        <f>SUMIFS(PrdAdActif!$O:$O,PrdAdActif!$B:$B,adProjChocS2,PrdAdActif!$C:$C,adProjScenario,PrdAdActif!$F:$F,adProjCdCanton,PrdAdActif!$G:$G,"IMMOBILIER",PrdAdActif!$D:$D,adProjIteration,PrdAdActif!$I:$I,"1.Perf")</f>
        <v>0</v>
      </c>
      <c r="AQ27" s="15">
        <f>SUMIFS(PrdAdActif!$O:$O,PrdAdActif!$B:$B,adProjChocS2,PrdAdActif!$C:$C,adProjScenario,PrdAdActif!$F:$F,adProjCdCanton,PrdAdActif!$G:$G,"IMMOBILIER",PrdAdActif!$D:$D,adProjIteration,PrdAdActif!$I:$I,"1.Perf")</f>
        <v>0</v>
      </c>
      <c r="AR27" s="15">
        <f>SUMIFS(PrdAdActif!$O:$O,PrdAdActif!$B:$B,adProjChocS2,PrdAdActif!$C:$C,adProjScenario,PrdAdActif!$F:$F,adProjCdCanton,PrdAdActif!$G:$G,"IMMOBILIER",PrdAdActif!$D:$D,adProjIteration,PrdAdActif!$I:$I,"1.Perf")</f>
        <v>0</v>
      </c>
      <c r="AS27" s="15">
        <f>SUMIFS(PrdAdActif!$O:$O,PrdAdActif!$B:$B,adProjChocS2,PrdAdActif!$C:$C,adProjScenario,PrdAdActif!$F:$F,adProjCdCanton,PrdAdActif!$G:$G,"IMMOBILIER",PrdAdActif!$D:$D,adProjIteration,PrdAdActif!$I:$I,"1.Perf")</f>
        <v>0</v>
      </c>
      <c r="AT27" s="15">
        <f>SUMIFS(PrdAdActif!$O:$O,PrdAdActif!$B:$B,adProjChocS2,PrdAdActif!$C:$C,adProjScenario,PrdAdActif!$F:$F,adProjCdCanton,PrdAdActif!$G:$G,"IMMOBILIER",PrdAdActif!$D:$D,adProjIteration,PrdAdActif!$I:$I,"1.Perf")</f>
        <v>0</v>
      </c>
      <c r="AU27" s="15">
        <f>SUMIFS(PrdAdActif!$O:$O,PrdAdActif!$B:$B,adProjChocS2,PrdAdActif!$C:$C,adProjScenario,PrdAdActif!$F:$F,adProjCdCanton,PrdAdActif!$G:$G,"IMMOBILIER",PrdAdActif!$D:$D,adProjIteration,PrdAdActif!$I:$I,"1.Perf")</f>
        <v>0</v>
      </c>
      <c r="AV27" s="15">
        <f>SUMIFS(PrdAdActif!$O:$O,PrdAdActif!$B:$B,adProjChocS2,PrdAdActif!$C:$C,adProjScenario,PrdAdActif!$F:$F,adProjCdCanton,PrdAdActif!$G:$G,"IMMOBILIER",PrdAdActif!$D:$D,adProjIteration,PrdAdActif!$I:$I,"1.Perf")</f>
        <v>0</v>
      </c>
      <c r="AW27" s="15">
        <f>SUMIFS(PrdAdActif!$O:$O,PrdAdActif!$B:$B,adProjChocS2,PrdAdActif!$C:$C,adProjScenario,PrdAdActif!$F:$F,adProjCdCanton,PrdAdActif!$G:$G,"IMMOBILIER",PrdAdActif!$D:$D,adProjIteration,PrdAdActif!$I:$I,"1.Perf")</f>
        <v>0</v>
      </c>
      <c r="AX27" s="15">
        <f>SUMIFS(PrdAdActif!$O:$O,PrdAdActif!$B:$B,adProjChocS2,PrdAdActif!$C:$C,adProjScenario,PrdAdActif!$F:$F,adProjCdCanton,PrdAdActif!$G:$G,"IMMOBILIER",PrdAdActif!$D:$D,adProjIteration,PrdAdActif!$I:$I,"1.Perf")</f>
        <v>0</v>
      </c>
      <c r="AY27" s="15">
        <f>SUMIFS(PrdAdActif!$O:$O,PrdAdActif!$B:$B,adProjChocS2,PrdAdActif!$C:$C,adProjScenario,PrdAdActif!$F:$F,adProjCdCanton,PrdAdActif!$G:$G,"IMMOBILIER",PrdAdActif!$D:$D,adProjIteration,PrdAdActif!$I:$I,"1.Perf")</f>
        <v>0</v>
      </c>
      <c r="AZ27" s="15">
        <f>SUMIFS(PrdAdActif!$O:$O,PrdAdActif!$B:$B,adProjChocS2,PrdAdActif!$C:$C,adProjScenario,PrdAdActif!$F:$F,adProjCdCanton,PrdAdActif!$G:$G,"IMMOBILIER",PrdAdActif!$D:$D,adProjIteration,PrdAdActif!$I:$I,"1.Perf")</f>
        <v>0</v>
      </c>
      <c r="BA27" s="15">
        <f>SUMIFS(PrdAdActif!$O:$O,PrdAdActif!$B:$B,adProjChocS2,PrdAdActif!$C:$C,adProjScenario,PrdAdActif!$F:$F,adProjCdCanton,PrdAdActif!$G:$G,"IMMOBILIER",PrdAdActif!$D:$D,adProjIteration,PrdAdActif!$I:$I,"1.Perf")</f>
        <v>0</v>
      </c>
      <c r="BB27" s="15">
        <f>SUMIFS(PrdAdActif!$O:$O,PrdAdActif!$B:$B,adProjChocS2,PrdAdActif!$C:$C,adProjScenario,PrdAdActif!$F:$F,adProjCdCanton,PrdAdActif!$G:$G,"IMMOBILIER",PrdAdActif!$D:$D,adProjIteration,PrdAdActif!$I:$I,"1.Perf")</f>
        <v>0</v>
      </c>
    </row>
    <row r="28" spans="2:54" ht="16.5" x14ac:dyDescent="0.3">
      <c r="B28" s="17"/>
      <c r="C28" s="14" t="s">
        <v>24</v>
      </c>
      <c r="D28" s="15">
        <f>SUMIFS(PrdAdActif!$O:$O,PrdAdActif!$B:$B,adProjChocS2,PrdAdActif!$C:$C,adProjScenario,PrdAdActif!$F:$F,adProjCdCanton,PrdAdActif!$G:$G,"ACTION",PrdAdActif!$D:$D,adProjIteration,PrdAdActif!$I:$I,"1.Perf")</f>
        <v>0</v>
      </c>
      <c r="E28" s="15">
        <f>SUMIFS(PrdAdActif!$O:$O,PrdAdActif!$B:$B,adProjChocS2,PrdAdActif!$C:$C,adProjScenario,PrdAdActif!$F:$F,adProjCdCanton,PrdAdActif!$G:$G,"ACTION",PrdAdActif!$D:$D,adProjIteration,PrdAdActif!$I:$I,"1.Perf")</f>
        <v>0</v>
      </c>
      <c r="F28" s="15">
        <f>SUMIFS(PrdAdActif!$O:$O,PrdAdActif!$B:$B,adProjChocS2,PrdAdActif!$C:$C,adProjScenario,PrdAdActif!$F:$F,adProjCdCanton,PrdAdActif!$G:$G,"ACTION",PrdAdActif!$D:$D,adProjIteration,PrdAdActif!$I:$I,"1.Perf")</f>
        <v>0</v>
      </c>
      <c r="G28" s="15">
        <f>SUMIFS(PrdAdActif!$O:$O,PrdAdActif!$B:$B,adProjChocS2,PrdAdActif!$C:$C,adProjScenario,PrdAdActif!$F:$F,adProjCdCanton,PrdAdActif!$G:$G,"ACTION",PrdAdActif!$D:$D,adProjIteration,PrdAdActif!$I:$I,"1.Perf")</f>
        <v>0</v>
      </c>
      <c r="H28" s="15">
        <f>SUMIFS(PrdAdActif!$O:$O,PrdAdActif!$B:$B,adProjChocS2,PrdAdActif!$C:$C,adProjScenario,PrdAdActif!$F:$F,adProjCdCanton,PrdAdActif!$G:$G,"ACTION",PrdAdActif!$D:$D,adProjIteration,PrdAdActif!$I:$I,"1.Perf")</f>
        <v>0</v>
      </c>
      <c r="I28" s="15">
        <f>SUMIFS(PrdAdActif!$O:$O,PrdAdActif!$B:$B,adProjChocS2,PrdAdActif!$C:$C,adProjScenario,PrdAdActif!$F:$F,adProjCdCanton,PrdAdActif!$G:$G,"ACTION",PrdAdActif!$D:$D,adProjIteration,PrdAdActif!$I:$I,"1.Perf")</f>
        <v>0</v>
      </c>
      <c r="J28" s="15">
        <f>SUMIFS(PrdAdActif!$O:$O,PrdAdActif!$B:$B,adProjChocS2,PrdAdActif!$C:$C,adProjScenario,PrdAdActif!$F:$F,adProjCdCanton,PrdAdActif!$G:$G,"ACTION",PrdAdActif!$D:$D,adProjIteration,PrdAdActif!$I:$I,"1.Perf")</f>
        <v>0</v>
      </c>
      <c r="K28" s="15">
        <f>SUMIFS(PrdAdActif!$O:$O,PrdAdActif!$B:$B,adProjChocS2,PrdAdActif!$C:$C,adProjScenario,PrdAdActif!$F:$F,adProjCdCanton,PrdAdActif!$G:$G,"ACTION",PrdAdActif!$D:$D,adProjIteration,PrdAdActif!$I:$I,"1.Perf")</f>
        <v>0</v>
      </c>
      <c r="L28" s="15">
        <f>SUMIFS(PrdAdActif!$O:$O,PrdAdActif!$B:$B,adProjChocS2,PrdAdActif!$C:$C,adProjScenario,PrdAdActif!$F:$F,adProjCdCanton,PrdAdActif!$G:$G,"ACTION",PrdAdActif!$D:$D,adProjIteration,PrdAdActif!$I:$I,"1.Perf")</f>
        <v>0</v>
      </c>
      <c r="M28" s="15">
        <f>SUMIFS(PrdAdActif!$O:$O,PrdAdActif!$B:$B,adProjChocS2,PrdAdActif!$C:$C,adProjScenario,PrdAdActif!$F:$F,adProjCdCanton,PrdAdActif!$G:$G,"ACTION",PrdAdActif!$D:$D,adProjIteration,PrdAdActif!$I:$I,"1.Perf")</f>
        <v>0</v>
      </c>
      <c r="N28" s="15">
        <f>SUMIFS(PrdAdActif!$O:$O,PrdAdActif!$B:$B,adProjChocS2,PrdAdActif!$C:$C,adProjScenario,PrdAdActif!$F:$F,adProjCdCanton,PrdAdActif!$G:$G,"ACTION",PrdAdActif!$D:$D,adProjIteration,PrdAdActif!$I:$I,"1.Perf")</f>
        <v>0</v>
      </c>
      <c r="O28" s="15">
        <f>SUMIFS(PrdAdActif!$O:$O,PrdAdActif!$B:$B,adProjChocS2,PrdAdActif!$C:$C,adProjScenario,PrdAdActif!$F:$F,adProjCdCanton,PrdAdActif!$G:$G,"ACTION",PrdAdActif!$D:$D,adProjIteration,PrdAdActif!$I:$I,"1.Perf")</f>
        <v>0</v>
      </c>
      <c r="P28" s="15">
        <f>SUMIFS(PrdAdActif!$O:$O,PrdAdActif!$B:$B,adProjChocS2,PrdAdActif!$C:$C,adProjScenario,PrdAdActif!$F:$F,adProjCdCanton,PrdAdActif!$G:$G,"ACTION",PrdAdActif!$D:$D,adProjIteration,PrdAdActif!$I:$I,"1.Perf")</f>
        <v>0</v>
      </c>
      <c r="Q28" s="15">
        <f>SUMIFS(PrdAdActif!$O:$O,PrdAdActif!$B:$B,adProjChocS2,PrdAdActif!$C:$C,adProjScenario,PrdAdActif!$F:$F,adProjCdCanton,PrdAdActif!$G:$G,"ACTION",PrdAdActif!$D:$D,adProjIteration,PrdAdActif!$I:$I,"1.Perf")</f>
        <v>0</v>
      </c>
      <c r="R28" s="15">
        <f>SUMIFS(PrdAdActif!$O:$O,PrdAdActif!$B:$B,adProjChocS2,PrdAdActif!$C:$C,adProjScenario,PrdAdActif!$F:$F,adProjCdCanton,PrdAdActif!$G:$G,"ACTION",PrdAdActif!$D:$D,adProjIteration,PrdAdActif!$I:$I,"1.Perf")</f>
        <v>0</v>
      </c>
      <c r="S28" s="15">
        <f>SUMIFS(PrdAdActif!$O:$O,PrdAdActif!$B:$B,adProjChocS2,PrdAdActif!$C:$C,adProjScenario,PrdAdActif!$F:$F,adProjCdCanton,PrdAdActif!$G:$G,"ACTION",PrdAdActif!$D:$D,adProjIteration,PrdAdActif!$I:$I,"1.Perf")</f>
        <v>0</v>
      </c>
      <c r="T28" s="15">
        <f>SUMIFS(PrdAdActif!$O:$O,PrdAdActif!$B:$B,adProjChocS2,PrdAdActif!$C:$C,adProjScenario,PrdAdActif!$F:$F,adProjCdCanton,PrdAdActif!$G:$G,"ACTION",PrdAdActif!$D:$D,adProjIteration,PrdAdActif!$I:$I,"1.Perf")</f>
        <v>0</v>
      </c>
      <c r="U28" s="15">
        <f>SUMIFS(PrdAdActif!$O:$O,PrdAdActif!$B:$B,adProjChocS2,PrdAdActif!$C:$C,adProjScenario,PrdAdActif!$F:$F,adProjCdCanton,PrdAdActif!$G:$G,"ACTION",PrdAdActif!$D:$D,adProjIteration,PrdAdActif!$I:$I,"1.Perf")</f>
        <v>0</v>
      </c>
      <c r="V28" s="15">
        <f>SUMIFS(PrdAdActif!$O:$O,PrdAdActif!$B:$B,adProjChocS2,PrdAdActif!$C:$C,adProjScenario,PrdAdActif!$F:$F,adProjCdCanton,PrdAdActif!$G:$G,"ACTION",PrdAdActif!$D:$D,adProjIteration,PrdAdActif!$I:$I,"1.Perf")</f>
        <v>0</v>
      </c>
      <c r="W28" s="15">
        <f>SUMIFS(PrdAdActif!$O:$O,PrdAdActif!$B:$B,adProjChocS2,PrdAdActif!$C:$C,adProjScenario,PrdAdActif!$F:$F,adProjCdCanton,PrdAdActif!$G:$G,"ACTION",PrdAdActif!$D:$D,adProjIteration,PrdAdActif!$I:$I,"1.Perf")</f>
        <v>0</v>
      </c>
      <c r="X28" s="15">
        <f>SUMIFS(PrdAdActif!$O:$O,PrdAdActif!$B:$B,adProjChocS2,PrdAdActif!$C:$C,adProjScenario,PrdAdActif!$F:$F,adProjCdCanton,PrdAdActif!$G:$G,"ACTION",PrdAdActif!$D:$D,adProjIteration,PrdAdActif!$I:$I,"1.Perf")</f>
        <v>0</v>
      </c>
      <c r="Y28" s="15">
        <f>SUMIFS(PrdAdActif!$O:$O,PrdAdActif!$B:$B,adProjChocS2,PrdAdActif!$C:$C,adProjScenario,PrdAdActif!$F:$F,adProjCdCanton,PrdAdActif!$G:$G,"ACTION",PrdAdActif!$D:$D,adProjIteration,PrdAdActif!$I:$I,"1.Perf")</f>
        <v>0</v>
      </c>
      <c r="Z28" s="15">
        <f>SUMIFS(PrdAdActif!$O:$O,PrdAdActif!$B:$B,adProjChocS2,PrdAdActif!$C:$C,adProjScenario,PrdAdActif!$F:$F,adProjCdCanton,PrdAdActif!$G:$G,"ACTION",PrdAdActif!$D:$D,adProjIteration,PrdAdActif!$I:$I,"1.Perf")</f>
        <v>0</v>
      </c>
      <c r="AA28" s="15">
        <f>SUMIFS(PrdAdActif!$O:$O,PrdAdActif!$B:$B,adProjChocS2,PrdAdActif!$C:$C,adProjScenario,PrdAdActif!$F:$F,adProjCdCanton,PrdAdActif!$G:$G,"ACTION",PrdAdActif!$D:$D,adProjIteration,PrdAdActif!$I:$I,"1.Perf")</f>
        <v>0</v>
      </c>
      <c r="AB28" s="15">
        <f>SUMIFS(PrdAdActif!$O:$O,PrdAdActif!$B:$B,adProjChocS2,PrdAdActif!$C:$C,adProjScenario,PrdAdActif!$F:$F,adProjCdCanton,PrdAdActif!$G:$G,"ACTION",PrdAdActif!$D:$D,adProjIteration,PrdAdActif!$I:$I,"1.Perf")</f>
        <v>0</v>
      </c>
      <c r="AC28" s="15">
        <f>SUMIFS(PrdAdActif!$O:$O,PrdAdActif!$B:$B,adProjChocS2,PrdAdActif!$C:$C,adProjScenario,PrdAdActif!$F:$F,adProjCdCanton,PrdAdActif!$G:$G,"ACTION",PrdAdActif!$D:$D,adProjIteration,PrdAdActif!$I:$I,"1.Perf")</f>
        <v>0</v>
      </c>
      <c r="AD28" s="15">
        <f>SUMIFS(PrdAdActif!$O:$O,PrdAdActif!$B:$B,adProjChocS2,PrdAdActif!$C:$C,adProjScenario,PrdAdActif!$F:$F,adProjCdCanton,PrdAdActif!$G:$G,"ACTION",PrdAdActif!$D:$D,adProjIteration,PrdAdActif!$I:$I,"1.Perf")</f>
        <v>0</v>
      </c>
      <c r="AE28" s="15">
        <f>SUMIFS(PrdAdActif!$O:$O,PrdAdActif!$B:$B,adProjChocS2,PrdAdActif!$C:$C,adProjScenario,PrdAdActif!$F:$F,adProjCdCanton,PrdAdActif!$G:$G,"ACTION",PrdAdActif!$D:$D,adProjIteration,PrdAdActif!$I:$I,"1.Perf")</f>
        <v>0</v>
      </c>
      <c r="AF28" s="15">
        <f>SUMIFS(PrdAdActif!$O:$O,PrdAdActif!$B:$B,adProjChocS2,PrdAdActif!$C:$C,adProjScenario,PrdAdActif!$F:$F,adProjCdCanton,PrdAdActif!$G:$G,"ACTION",PrdAdActif!$D:$D,adProjIteration,PrdAdActif!$I:$I,"1.Perf")</f>
        <v>0</v>
      </c>
      <c r="AG28" s="15">
        <f>SUMIFS(PrdAdActif!$O:$O,PrdAdActif!$B:$B,adProjChocS2,PrdAdActif!$C:$C,adProjScenario,PrdAdActif!$F:$F,adProjCdCanton,PrdAdActif!$G:$G,"ACTION",PrdAdActif!$D:$D,adProjIteration,PrdAdActif!$I:$I,"1.Perf")</f>
        <v>0</v>
      </c>
      <c r="AH28" s="15">
        <f>SUMIFS(PrdAdActif!$O:$O,PrdAdActif!$B:$B,adProjChocS2,PrdAdActif!$C:$C,adProjScenario,PrdAdActif!$F:$F,adProjCdCanton,PrdAdActif!$G:$G,"ACTION",PrdAdActif!$D:$D,adProjIteration,PrdAdActif!$I:$I,"1.Perf")</f>
        <v>0</v>
      </c>
      <c r="AI28" s="15">
        <f>SUMIFS(PrdAdActif!$O:$O,PrdAdActif!$B:$B,adProjChocS2,PrdAdActif!$C:$C,adProjScenario,PrdAdActif!$F:$F,adProjCdCanton,PrdAdActif!$G:$G,"ACTION",PrdAdActif!$D:$D,adProjIteration,PrdAdActif!$I:$I,"1.Perf")</f>
        <v>0</v>
      </c>
      <c r="AJ28" s="15">
        <f>SUMIFS(PrdAdActif!$O:$O,PrdAdActif!$B:$B,adProjChocS2,PrdAdActif!$C:$C,adProjScenario,PrdAdActif!$F:$F,adProjCdCanton,PrdAdActif!$G:$G,"ACTION",PrdAdActif!$D:$D,adProjIteration,PrdAdActif!$I:$I,"1.Perf")</f>
        <v>0</v>
      </c>
      <c r="AK28" s="15">
        <f>SUMIFS(PrdAdActif!$O:$O,PrdAdActif!$B:$B,adProjChocS2,PrdAdActif!$C:$C,adProjScenario,PrdAdActif!$F:$F,adProjCdCanton,PrdAdActif!$G:$G,"ACTION",PrdAdActif!$D:$D,adProjIteration,PrdAdActif!$I:$I,"1.Perf")</f>
        <v>0</v>
      </c>
      <c r="AL28" s="15">
        <f>SUMIFS(PrdAdActif!$O:$O,PrdAdActif!$B:$B,adProjChocS2,PrdAdActif!$C:$C,adProjScenario,PrdAdActif!$F:$F,adProjCdCanton,PrdAdActif!$G:$G,"ACTION",PrdAdActif!$D:$D,adProjIteration,PrdAdActif!$I:$I,"1.Perf")</f>
        <v>0</v>
      </c>
      <c r="AM28" s="15">
        <f>SUMIFS(PrdAdActif!$O:$O,PrdAdActif!$B:$B,adProjChocS2,PrdAdActif!$C:$C,adProjScenario,PrdAdActif!$F:$F,adProjCdCanton,PrdAdActif!$G:$G,"ACTION",PrdAdActif!$D:$D,adProjIteration,PrdAdActif!$I:$I,"1.Perf")</f>
        <v>0</v>
      </c>
      <c r="AN28" s="15">
        <f>SUMIFS(PrdAdActif!$O:$O,PrdAdActif!$B:$B,adProjChocS2,PrdAdActif!$C:$C,adProjScenario,PrdAdActif!$F:$F,adProjCdCanton,PrdAdActif!$G:$G,"ACTION",PrdAdActif!$D:$D,adProjIteration,PrdAdActif!$I:$I,"1.Perf")</f>
        <v>0</v>
      </c>
      <c r="AO28" s="15">
        <f>SUMIFS(PrdAdActif!$O:$O,PrdAdActif!$B:$B,adProjChocS2,PrdAdActif!$C:$C,adProjScenario,PrdAdActif!$F:$F,adProjCdCanton,PrdAdActif!$G:$G,"ACTION",PrdAdActif!$D:$D,adProjIteration,PrdAdActif!$I:$I,"1.Perf")</f>
        <v>0</v>
      </c>
      <c r="AP28" s="15">
        <f>SUMIFS(PrdAdActif!$O:$O,PrdAdActif!$B:$B,adProjChocS2,PrdAdActif!$C:$C,adProjScenario,PrdAdActif!$F:$F,adProjCdCanton,PrdAdActif!$G:$G,"ACTION",PrdAdActif!$D:$D,adProjIteration,PrdAdActif!$I:$I,"1.Perf")</f>
        <v>0</v>
      </c>
      <c r="AQ28" s="15">
        <f>SUMIFS(PrdAdActif!$O:$O,PrdAdActif!$B:$B,adProjChocS2,PrdAdActif!$C:$C,adProjScenario,PrdAdActif!$F:$F,adProjCdCanton,PrdAdActif!$G:$G,"ACTION",PrdAdActif!$D:$D,adProjIteration,PrdAdActif!$I:$I,"1.Perf")</f>
        <v>0</v>
      </c>
      <c r="AR28" s="15">
        <f>SUMIFS(PrdAdActif!$O:$O,PrdAdActif!$B:$B,adProjChocS2,PrdAdActif!$C:$C,adProjScenario,PrdAdActif!$F:$F,adProjCdCanton,PrdAdActif!$G:$G,"ACTION",PrdAdActif!$D:$D,adProjIteration,PrdAdActif!$I:$I,"1.Perf")</f>
        <v>0</v>
      </c>
      <c r="AS28" s="15">
        <f>SUMIFS(PrdAdActif!$O:$O,PrdAdActif!$B:$B,adProjChocS2,PrdAdActif!$C:$C,adProjScenario,PrdAdActif!$F:$F,adProjCdCanton,PrdAdActif!$G:$G,"ACTION",PrdAdActif!$D:$D,adProjIteration,PrdAdActif!$I:$I,"1.Perf")</f>
        <v>0</v>
      </c>
      <c r="AT28" s="15">
        <f>SUMIFS(PrdAdActif!$O:$O,PrdAdActif!$B:$B,adProjChocS2,PrdAdActif!$C:$C,adProjScenario,PrdAdActif!$F:$F,adProjCdCanton,PrdAdActif!$G:$G,"ACTION",PrdAdActif!$D:$D,adProjIteration,PrdAdActif!$I:$I,"1.Perf")</f>
        <v>0</v>
      </c>
      <c r="AU28" s="15">
        <f>SUMIFS(PrdAdActif!$O:$O,PrdAdActif!$B:$B,adProjChocS2,PrdAdActif!$C:$C,adProjScenario,PrdAdActif!$F:$F,adProjCdCanton,PrdAdActif!$G:$G,"ACTION",PrdAdActif!$D:$D,adProjIteration,PrdAdActif!$I:$I,"1.Perf")</f>
        <v>0</v>
      </c>
      <c r="AV28" s="15">
        <f>SUMIFS(PrdAdActif!$O:$O,PrdAdActif!$B:$B,adProjChocS2,PrdAdActif!$C:$C,adProjScenario,PrdAdActif!$F:$F,adProjCdCanton,PrdAdActif!$G:$G,"ACTION",PrdAdActif!$D:$D,adProjIteration,PrdAdActif!$I:$I,"1.Perf")</f>
        <v>0</v>
      </c>
      <c r="AW28" s="15">
        <f>SUMIFS(PrdAdActif!$O:$O,PrdAdActif!$B:$B,adProjChocS2,PrdAdActif!$C:$C,adProjScenario,PrdAdActif!$F:$F,adProjCdCanton,PrdAdActif!$G:$G,"ACTION",PrdAdActif!$D:$D,adProjIteration,PrdAdActif!$I:$I,"1.Perf")</f>
        <v>0</v>
      </c>
      <c r="AX28" s="15">
        <f>SUMIFS(PrdAdActif!$O:$O,PrdAdActif!$B:$B,adProjChocS2,PrdAdActif!$C:$C,adProjScenario,PrdAdActif!$F:$F,adProjCdCanton,PrdAdActif!$G:$G,"ACTION",PrdAdActif!$D:$D,adProjIteration,PrdAdActif!$I:$I,"1.Perf")</f>
        <v>0</v>
      </c>
      <c r="AY28" s="15">
        <f>SUMIFS(PrdAdActif!$O:$O,PrdAdActif!$B:$B,adProjChocS2,PrdAdActif!$C:$C,adProjScenario,PrdAdActif!$F:$F,adProjCdCanton,PrdAdActif!$G:$G,"ACTION",PrdAdActif!$D:$D,adProjIteration,PrdAdActif!$I:$I,"1.Perf")</f>
        <v>0</v>
      </c>
      <c r="AZ28" s="15">
        <f>SUMIFS(PrdAdActif!$O:$O,PrdAdActif!$B:$B,adProjChocS2,PrdAdActif!$C:$C,adProjScenario,PrdAdActif!$F:$F,adProjCdCanton,PrdAdActif!$G:$G,"ACTION",PrdAdActif!$D:$D,adProjIteration,PrdAdActif!$I:$I,"1.Perf")</f>
        <v>0</v>
      </c>
      <c r="BA28" s="15">
        <f>SUMIFS(PrdAdActif!$O:$O,PrdAdActif!$B:$B,adProjChocS2,PrdAdActif!$C:$C,adProjScenario,PrdAdActif!$F:$F,adProjCdCanton,PrdAdActif!$G:$G,"ACTION",PrdAdActif!$D:$D,adProjIteration,PrdAdActif!$I:$I,"1.Perf")</f>
        <v>0</v>
      </c>
      <c r="BB28" s="15">
        <f>SUMIFS(PrdAdActif!$O:$O,PrdAdActif!$B:$B,adProjChocS2,PrdAdActif!$C:$C,adProjScenario,PrdAdActif!$F:$F,adProjCdCanton,PrdAdActif!$G:$G,"ACTION",PrdAdActif!$D:$D,adProjIteration,PrdAdActif!$I:$I,"1.Perf")</f>
        <v>0</v>
      </c>
    </row>
    <row r="29" spans="2:54" ht="16.5" x14ac:dyDescent="0.3">
      <c r="B29" s="17"/>
      <c r="C29" s="14" t="s">
        <v>25</v>
      </c>
      <c r="D29" s="15">
        <f>SUMIFS(PrdAdActif!$O:$O,PrdAdActif!$B:$B,adProjChocS2,PrdAdActif!$C:$C,adProjScenario,PrdAdActif!$F:$F,adProjCdCanton,PrdAdActif!$G:$G,"MONETAIRE",PrdAdActif!$D:$D,adProjIteration,PrdAdActif!$I:$I,"1.Perf")</f>
        <v>0</v>
      </c>
      <c r="E29" s="15">
        <f>SUMIFS(PrdAdActif!$O:$O,PrdAdActif!$B:$B,adProjChocS2,PrdAdActif!$C:$C,adProjScenario,PrdAdActif!$F:$F,adProjCdCanton,PrdAdActif!$G:$G,"MONETAIRE",PrdAdActif!$D:$D,adProjIteration,PrdAdActif!$I:$I,"1.Perf")</f>
        <v>0</v>
      </c>
      <c r="F29" s="15">
        <f>SUMIFS(PrdAdActif!$O:$O,PrdAdActif!$B:$B,adProjChocS2,PrdAdActif!$C:$C,adProjScenario,PrdAdActif!$F:$F,adProjCdCanton,PrdAdActif!$G:$G,"MONETAIRE",PrdAdActif!$D:$D,adProjIteration,PrdAdActif!$I:$I,"1.Perf")</f>
        <v>0</v>
      </c>
      <c r="G29" s="15">
        <f>SUMIFS(PrdAdActif!$O:$O,PrdAdActif!$B:$B,adProjChocS2,PrdAdActif!$C:$C,adProjScenario,PrdAdActif!$F:$F,adProjCdCanton,PrdAdActif!$G:$G,"MONETAIRE",PrdAdActif!$D:$D,adProjIteration,PrdAdActif!$I:$I,"1.Perf")</f>
        <v>0</v>
      </c>
      <c r="H29" s="15">
        <f>SUMIFS(PrdAdActif!$O:$O,PrdAdActif!$B:$B,adProjChocS2,PrdAdActif!$C:$C,adProjScenario,PrdAdActif!$F:$F,adProjCdCanton,PrdAdActif!$G:$G,"MONETAIRE",PrdAdActif!$D:$D,adProjIteration,PrdAdActif!$I:$I,"1.Perf")</f>
        <v>0</v>
      </c>
      <c r="I29" s="15">
        <f>SUMIFS(PrdAdActif!$O:$O,PrdAdActif!$B:$B,adProjChocS2,PrdAdActif!$C:$C,adProjScenario,PrdAdActif!$F:$F,adProjCdCanton,PrdAdActif!$G:$G,"MONETAIRE",PrdAdActif!$D:$D,adProjIteration,PrdAdActif!$I:$I,"1.Perf")</f>
        <v>0</v>
      </c>
      <c r="J29" s="15">
        <f>SUMIFS(PrdAdActif!$O:$O,PrdAdActif!$B:$B,adProjChocS2,PrdAdActif!$C:$C,adProjScenario,PrdAdActif!$F:$F,adProjCdCanton,PrdAdActif!$G:$G,"MONETAIRE",PrdAdActif!$D:$D,adProjIteration,PrdAdActif!$I:$I,"1.Perf")</f>
        <v>0</v>
      </c>
      <c r="K29" s="15">
        <f>SUMIFS(PrdAdActif!$O:$O,PrdAdActif!$B:$B,adProjChocS2,PrdAdActif!$C:$C,adProjScenario,PrdAdActif!$F:$F,adProjCdCanton,PrdAdActif!$G:$G,"MONETAIRE",PrdAdActif!$D:$D,adProjIteration,PrdAdActif!$I:$I,"1.Perf")</f>
        <v>0</v>
      </c>
      <c r="L29" s="15">
        <f>SUMIFS(PrdAdActif!$O:$O,PrdAdActif!$B:$B,adProjChocS2,PrdAdActif!$C:$C,adProjScenario,PrdAdActif!$F:$F,adProjCdCanton,PrdAdActif!$G:$G,"MONETAIRE",PrdAdActif!$D:$D,adProjIteration,PrdAdActif!$I:$I,"1.Perf")</f>
        <v>0</v>
      </c>
      <c r="M29" s="15">
        <f>SUMIFS(PrdAdActif!$O:$O,PrdAdActif!$B:$B,adProjChocS2,PrdAdActif!$C:$C,adProjScenario,PrdAdActif!$F:$F,adProjCdCanton,PrdAdActif!$G:$G,"MONETAIRE",PrdAdActif!$D:$D,adProjIteration,PrdAdActif!$I:$I,"1.Perf")</f>
        <v>0</v>
      </c>
      <c r="N29" s="15">
        <f>SUMIFS(PrdAdActif!$O:$O,PrdAdActif!$B:$B,adProjChocS2,PrdAdActif!$C:$C,adProjScenario,PrdAdActif!$F:$F,adProjCdCanton,PrdAdActif!$G:$G,"MONETAIRE",PrdAdActif!$D:$D,adProjIteration,PrdAdActif!$I:$I,"1.Perf")</f>
        <v>0</v>
      </c>
      <c r="O29" s="15">
        <f>SUMIFS(PrdAdActif!$O:$O,PrdAdActif!$B:$B,adProjChocS2,PrdAdActif!$C:$C,adProjScenario,PrdAdActif!$F:$F,adProjCdCanton,PrdAdActif!$G:$G,"MONETAIRE",PrdAdActif!$D:$D,adProjIteration,PrdAdActif!$I:$I,"1.Perf")</f>
        <v>0</v>
      </c>
      <c r="P29" s="15">
        <f>SUMIFS(PrdAdActif!$O:$O,PrdAdActif!$B:$B,adProjChocS2,PrdAdActif!$C:$C,adProjScenario,PrdAdActif!$F:$F,adProjCdCanton,PrdAdActif!$G:$G,"MONETAIRE",PrdAdActif!$D:$D,adProjIteration,PrdAdActif!$I:$I,"1.Perf")</f>
        <v>0</v>
      </c>
      <c r="Q29" s="15">
        <f>SUMIFS(PrdAdActif!$O:$O,PrdAdActif!$B:$B,adProjChocS2,PrdAdActif!$C:$C,adProjScenario,PrdAdActif!$F:$F,adProjCdCanton,PrdAdActif!$G:$G,"MONETAIRE",PrdAdActif!$D:$D,adProjIteration,PrdAdActif!$I:$I,"1.Perf")</f>
        <v>0</v>
      </c>
      <c r="R29" s="15">
        <f>SUMIFS(PrdAdActif!$O:$O,PrdAdActif!$B:$B,adProjChocS2,PrdAdActif!$C:$C,adProjScenario,PrdAdActif!$F:$F,adProjCdCanton,PrdAdActif!$G:$G,"MONETAIRE",PrdAdActif!$D:$D,adProjIteration,PrdAdActif!$I:$I,"1.Perf")</f>
        <v>0</v>
      </c>
      <c r="S29" s="15">
        <f>SUMIFS(PrdAdActif!$O:$O,PrdAdActif!$B:$B,adProjChocS2,PrdAdActif!$C:$C,adProjScenario,PrdAdActif!$F:$F,adProjCdCanton,PrdAdActif!$G:$G,"MONETAIRE",PrdAdActif!$D:$D,adProjIteration,PrdAdActif!$I:$I,"1.Perf")</f>
        <v>0</v>
      </c>
      <c r="T29" s="15">
        <f>SUMIFS(PrdAdActif!$O:$O,PrdAdActif!$B:$B,adProjChocS2,PrdAdActif!$C:$C,adProjScenario,PrdAdActif!$F:$F,adProjCdCanton,PrdAdActif!$G:$G,"MONETAIRE",PrdAdActif!$D:$D,adProjIteration,PrdAdActif!$I:$I,"1.Perf")</f>
        <v>0</v>
      </c>
      <c r="U29" s="15">
        <f>SUMIFS(PrdAdActif!$O:$O,PrdAdActif!$B:$B,adProjChocS2,PrdAdActif!$C:$C,adProjScenario,PrdAdActif!$F:$F,adProjCdCanton,PrdAdActif!$G:$G,"MONETAIRE",PrdAdActif!$D:$D,adProjIteration,PrdAdActif!$I:$I,"1.Perf")</f>
        <v>0</v>
      </c>
      <c r="V29" s="15">
        <f>SUMIFS(PrdAdActif!$O:$O,PrdAdActif!$B:$B,adProjChocS2,PrdAdActif!$C:$C,adProjScenario,PrdAdActif!$F:$F,adProjCdCanton,PrdAdActif!$G:$G,"MONETAIRE",PrdAdActif!$D:$D,adProjIteration,PrdAdActif!$I:$I,"1.Perf")</f>
        <v>0</v>
      </c>
      <c r="W29" s="15">
        <f>SUMIFS(PrdAdActif!$O:$O,PrdAdActif!$B:$B,adProjChocS2,PrdAdActif!$C:$C,adProjScenario,PrdAdActif!$F:$F,adProjCdCanton,PrdAdActif!$G:$G,"MONETAIRE",PrdAdActif!$D:$D,adProjIteration,PrdAdActif!$I:$I,"1.Perf")</f>
        <v>0</v>
      </c>
      <c r="X29" s="15">
        <f>SUMIFS(PrdAdActif!$O:$O,PrdAdActif!$B:$B,adProjChocS2,PrdAdActif!$C:$C,adProjScenario,PrdAdActif!$F:$F,adProjCdCanton,PrdAdActif!$G:$G,"MONETAIRE",PrdAdActif!$D:$D,adProjIteration,PrdAdActif!$I:$I,"1.Perf")</f>
        <v>0</v>
      </c>
      <c r="Y29" s="15">
        <f>SUMIFS(PrdAdActif!$O:$O,PrdAdActif!$B:$B,adProjChocS2,PrdAdActif!$C:$C,adProjScenario,PrdAdActif!$F:$F,adProjCdCanton,PrdAdActif!$G:$G,"MONETAIRE",PrdAdActif!$D:$D,adProjIteration,PrdAdActif!$I:$I,"1.Perf")</f>
        <v>0</v>
      </c>
      <c r="Z29" s="15">
        <f>SUMIFS(PrdAdActif!$O:$O,PrdAdActif!$B:$B,adProjChocS2,PrdAdActif!$C:$C,adProjScenario,PrdAdActif!$F:$F,adProjCdCanton,PrdAdActif!$G:$G,"MONETAIRE",PrdAdActif!$D:$D,adProjIteration,PrdAdActif!$I:$I,"1.Perf")</f>
        <v>0</v>
      </c>
      <c r="AA29" s="15">
        <f>SUMIFS(PrdAdActif!$O:$O,PrdAdActif!$B:$B,adProjChocS2,PrdAdActif!$C:$C,adProjScenario,PrdAdActif!$F:$F,adProjCdCanton,PrdAdActif!$G:$G,"MONETAIRE",PrdAdActif!$D:$D,adProjIteration,PrdAdActif!$I:$I,"1.Perf")</f>
        <v>0</v>
      </c>
      <c r="AB29" s="15">
        <f>SUMIFS(PrdAdActif!$O:$O,PrdAdActif!$B:$B,adProjChocS2,PrdAdActif!$C:$C,adProjScenario,PrdAdActif!$F:$F,adProjCdCanton,PrdAdActif!$G:$G,"MONETAIRE",PrdAdActif!$D:$D,adProjIteration,PrdAdActif!$I:$I,"1.Perf")</f>
        <v>0</v>
      </c>
      <c r="AC29" s="15">
        <f>SUMIFS(PrdAdActif!$O:$O,PrdAdActif!$B:$B,adProjChocS2,PrdAdActif!$C:$C,adProjScenario,PrdAdActif!$F:$F,adProjCdCanton,PrdAdActif!$G:$G,"MONETAIRE",PrdAdActif!$D:$D,adProjIteration,PrdAdActif!$I:$I,"1.Perf")</f>
        <v>0</v>
      </c>
      <c r="AD29" s="15">
        <f>SUMIFS(PrdAdActif!$O:$O,PrdAdActif!$B:$B,adProjChocS2,PrdAdActif!$C:$C,adProjScenario,PrdAdActif!$F:$F,adProjCdCanton,PrdAdActif!$G:$G,"MONETAIRE",PrdAdActif!$D:$D,adProjIteration,PrdAdActif!$I:$I,"1.Perf")</f>
        <v>0</v>
      </c>
      <c r="AE29" s="15">
        <f>SUMIFS(PrdAdActif!$O:$O,PrdAdActif!$B:$B,adProjChocS2,PrdAdActif!$C:$C,adProjScenario,PrdAdActif!$F:$F,adProjCdCanton,PrdAdActif!$G:$G,"MONETAIRE",PrdAdActif!$D:$D,adProjIteration,PrdAdActif!$I:$I,"1.Perf")</f>
        <v>0</v>
      </c>
      <c r="AF29" s="15">
        <f>SUMIFS(PrdAdActif!$O:$O,PrdAdActif!$B:$B,adProjChocS2,PrdAdActif!$C:$C,adProjScenario,PrdAdActif!$F:$F,adProjCdCanton,PrdAdActif!$G:$G,"MONETAIRE",PrdAdActif!$D:$D,adProjIteration,PrdAdActif!$I:$I,"1.Perf")</f>
        <v>0</v>
      </c>
      <c r="AG29" s="15">
        <f>SUMIFS(PrdAdActif!$O:$O,PrdAdActif!$B:$B,adProjChocS2,PrdAdActif!$C:$C,adProjScenario,PrdAdActif!$F:$F,adProjCdCanton,PrdAdActif!$G:$G,"MONETAIRE",PrdAdActif!$D:$D,adProjIteration,PrdAdActif!$I:$I,"1.Perf")</f>
        <v>0</v>
      </c>
      <c r="AH29" s="15">
        <f>SUMIFS(PrdAdActif!$O:$O,PrdAdActif!$B:$B,adProjChocS2,PrdAdActif!$C:$C,adProjScenario,PrdAdActif!$F:$F,adProjCdCanton,PrdAdActif!$G:$G,"MONETAIRE",PrdAdActif!$D:$D,adProjIteration,PrdAdActif!$I:$I,"1.Perf")</f>
        <v>0</v>
      </c>
      <c r="AI29" s="15">
        <f>SUMIFS(PrdAdActif!$O:$O,PrdAdActif!$B:$B,adProjChocS2,PrdAdActif!$C:$C,adProjScenario,PrdAdActif!$F:$F,adProjCdCanton,PrdAdActif!$G:$G,"MONETAIRE",PrdAdActif!$D:$D,adProjIteration,PrdAdActif!$I:$I,"1.Perf")</f>
        <v>0</v>
      </c>
      <c r="AJ29" s="15">
        <f>SUMIFS(PrdAdActif!$O:$O,PrdAdActif!$B:$B,adProjChocS2,PrdAdActif!$C:$C,adProjScenario,PrdAdActif!$F:$F,adProjCdCanton,PrdAdActif!$G:$G,"MONETAIRE",PrdAdActif!$D:$D,adProjIteration,PrdAdActif!$I:$I,"1.Perf")</f>
        <v>0</v>
      </c>
      <c r="AK29" s="15">
        <f>SUMIFS(PrdAdActif!$O:$O,PrdAdActif!$B:$B,adProjChocS2,PrdAdActif!$C:$C,adProjScenario,PrdAdActif!$F:$F,adProjCdCanton,PrdAdActif!$G:$G,"MONETAIRE",PrdAdActif!$D:$D,adProjIteration,PrdAdActif!$I:$I,"1.Perf")</f>
        <v>0</v>
      </c>
      <c r="AL29" s="15">
        <f>SUMIFS(PrdAdActif!$O:$O,PrdAdActif!$B:$B,adProjChocS2,PrdAdActif!$C:$C,adProjScenario,PrdAdActif!$F:$F,adProjCdCanton,PrdAdActif!$G:$G,"MONETAIRE",PrdAdActif!$D:$D,adProjIteration,PrdAdActif!$I:$I,"1.Perf")</f>
        <v>0</v>
      </c>
      <c r="AM29" s="15">
        <f>SUMIFS(PrdAdActif!$O:$O,PrdAdActif!$B:$B,adProjChocS2,PrdAdActif!$C:$C,adProjScenario,PrdAdActif!$F:$F,adProjCdCanton,PrdAdActif!$G:$G,"MONETAIRE",PrdAdActif!$D:$D,adProjIteration,PrdAdActif!$I:$I,"1.Perf")</f>
        <v>0</v>
      </c>
      <c r="AN29" s="15">
        <f>SUMIFS(PrdAdActif!$O:$O,PrdAdActif!$B:$B,adProjChocS2,PrdAdActif!$C:$C,adProjScenario,PrdAdActif!$F:$F,adProjCdCanton,PrdAdActif!$G:$G,"MONETAIRE",PrdAdActif!$D:$D,adProjIteration,PrdAdActif!$I:$I,"1.Perf")</f>
        <v>0</v>
      </c>
      <c r="AO29" s="15">
        <f>SUMIFS(PrdAdActif!$O:$O,PrdAdActif!$B:$B,adProjChocS2,PrdAdActif!$C:$C,adProjScenario,PrdAdActif!$F:$F,adProjCdCanton,PrdAdActif!$G:$G,"MONETAIRE",PrdAdActif!$D:$D,adProjIteration,PrdAdActif!$I:$I,"1.Perf")</f>
        <v>0</v>
      </c>
      <c r="AP29" s="15">
        <f>SUMIFS(PrdAdActif!$O:$O,PrdAdActif!$B:$B,adProjChocS2,PrdAdActif!$C:$C,adProjScenario,PrdAdActif!$F:$F,adProjCdCanton,PrdAdActif!$G:$G,"MONETAIRE",PrdAdActif!$D:$D,adProjIteration,PrdAdActif!$I:$I,"1.Perf")</f>
        <v>0</v>
      </c>
      <c r="AQ29" s="15">
        <f>SUMIFS(PrdAdActif!$O:$O,PrdAdActif!$B:$B,adProjChocS2,PrdAdActif!$C:$C,adProjScenario,PrdAdActif!$F:$F,adProjCdCanton,PrdAdActif!$G:$G,"MONETAIRE",PrdAdActif!$D:$D,adProjIteration,PrdAdActif!$I:$I,"1.Perf")</f>
        <v>0</v>
      </c>
      <c r="AR29" s="15">
        <f>SUMIFS(PrdAdActif!$O:$O,PrdAdActif!$B:$B,adProjChocS2,PrdAdActif!$C:$C,adProjScenario,PrdAdActif!$F:$F,adProjCdCanton,PrdAdActif!$G:$G,"MONETAIRE",PrdAdActif!$D:$D,adProjIteration,PrdAdActif!$I:$I,"1.Perf")</f>
        <v>0</v>
      </c>
      <c r="AS29" s="15">
        <f>SUMIFS(PrdAdActif!$O:$O,PrdAdActif!$B:$B,adProjChocS2,PrdAdActif!$C:$C,adProjScenario,PrdAdActif!$F:$F,adProjCdCanton,PrdAdActif!$G:$G,"MONETAIRE",PrdAdActif!$D:$D,adProjIteration,PrdAdActif!$I:$I,"1.Perf")</f>
        <v>0</v>
      </c>
      <c r="AT29" s="15">
        <f>SUMIFS(PrdAdActif!$O:$O,PrdAdActif!$B:$B,adProjChocS2,PrdAdActif!$C:$C,adProjScenario,PrdAdActif!$F:$F,adProjCdCanton,PrdAdActif!$G:$G,"MONETAIRE",PrdAdActif!$D:$D,adProjIteration,PrdAdActif!$I:$I,"1.Perf")</f>
        <v>0</v>
      </c>
      <c r="AU29" s="15">
        <f>SUMIFS(PrdAdActif!$O:$O,PrdAdActif!$B:$B,adProjChocS2,PrdAdActif!$C:$C,adProjScenario,PrdAdActif!$F:$F,adProjCdCanton,PrdAdActif!$G:$G,"MONETAIRE",PrdAdActif!$D:$D,adProjIteration,PrdAdActif!$I:$I,"1.Perf")</f>
        <v>0</v>
      </c>
      <c r="AV29" s="15">
        <f>SUMIFS(PrdAdActif!$O:$O,PrdAdActif!$B:$B,adProjChocS2,PrdAdActif!$C:$C,adProjScenario,PrdAdActif!$F:$F,adProjCdCanton,PrdAdActif!$G:$G,"MONETAIRE",PrdAdActif!$D:$D,adProjIteration,PrdAdActif!$I:$I,"1.Perf")</f>
        <v>0</v>
      </c>
      <c r="AW29" s="15">
        <f>SUMIFS(PrdAdActif!$O:$O,PrdAdActif!$B:$B,adProjChocS2,PrdAdActif!$C:$C,adProjScenario,PrdAdActif!$F:$F,adProjCdCanton,PrdAdActif!$G:$G,"MONETAIRE",PrdAdActif!$D:$D,adProjIteration,PrdAdActif!$I:$I,"1.Perf")</f>
        <v>0</v>
      </c>
      <c r="AX29" s="15">
        <f>SUMIFS(PrdAdActif!$O:$O,PrdAdActif!$B:$B,adProjChocS2,PrdAdActif!$C:$C,adProjScenario,PrdAdActif!$F:$F,adProjCdCanton,PrdAdActif!$G:$G,"MONETAIRE",PrdAdActif!$D:$D,adProjIteration,PrdAdActif!$I:$I,"1.Perf")</f>
        <v>0</v>
      </c>
      <c r="AY29" s="15">
        <f>SUMIFS(PrdAdActif!$O:$O,PrdAdActif!$B:$B,adProjChocS2,PrdAdActif!$C:$C,adProjScenario,PrdAdActif!$F:$F,adProjCdCanton,PrdAdActif!$G:$G,"MONETAIRE",PrdAdActif!$D:$D,adProjIteration,PrdAdActif!$I:$I,"1.Perf")</f>
        <v>0</v>
      </c>
      <c r="AZ29" s="15">
        <f>SUMIFS(PrdAdActif!$O:$O,PrdAdActif!$B:$B,adProjChocS2,PrdAdActif!$C:$C,adProjScenario,PrdAdActif!$F:$F,adProjCdCanton,PrdAdActif!$G:$G,"MONETAIRE",PrdAdActif!$D:$D,adProjIteration,PrdAdActif!$I:$I,"1.Perf")</f>
        <v>0</v>
      </c>
      <c r="BA29" s="15">
        <f>SUMIFS(PrdAdActif!$O:$O,PrdAdActif!$B:$B,adProjChocS2,PrdAdActif!$C:$C,adProjScenario,PrdAdActif!$F:$F,adProjCdCanton,PrdAdActif!$G:$G,"MONETAIRE",PrdAdActif!$D:$D,adProjIteration,PrdAdActif!$I:$I,"1.Perf")</f>
        <v>0</v>
      </c>
      <c r="BB29" s="15">
        <f>SUMIFS(PrdAdActif!$O:$O,PrdAdActif!$B:$B,adProjChocS2,PrdAdActif!$C:$C,adProjScenario,PrdAdActif!$F:$F,adProjCdCanton,PrdAdActif!$G:$G,"MONETAIRE",PrdAdActif!$D:$D,adProjIteration,PrdAdActif!$I:$I,"1.Perf")</f>
        <v>0</v>
      </c>
    </row>
    <row r="30" spans="2:54" ht="16.5" x14ac:dyDescent="0.3">
      <c r="B30" s="17"/>
      <c r="C30" s="14" t="s">
        <v>26</v>
      </c>
      <c r="D30" s="15">
        <f>SUM(D26:D29)</f>
        <v>0</v>
      </c>
      <c r="E30" s="15">
        <f t="shared" ref="E30:BB30" si="1">SUM(E26:E29)</f>
        <v>0</v>
      </c>
      <c r="F30" s="15">
        <f t="shared" si="1"/>
        <v>0</v>
      </c>
      <c r="G30" s="15">
        <f t="shared" si="1"/>
        <v>0</v>
      </c>
      <c r="H30" s="15">
        <f t="shared" si="1"/>
        <v>0</v>
      </c>
      <c r="I30" s="15">
        <f t="shared" si="1"/>
        <v>0</v>
      </c>
      <c r="J30" s="15">
        <f t="shared" si="1"/>
        <v>0</v>
      </c>
      <c r="K30" s="15">
        <f t="shared" si="1"/>
        <v>0</v>
      </c>
      <c r="L30" s="15">
        <f t="shared" si="1"/>
        <v>0</v>
      </c>
      <c r="M30" s="15">
        <f t="shared" si="1"/>
        <v>0</v>
      </c>
      <c r="N30" s="15">
        <f t="shared" si="1"/>
        <v>0</v>
      </c>
      <c r="O30" s="15">
        <f t="shared" si="1"/>
        <v>0</v>
      </c>
      <c r="P30" s="15">
        <f t="shared" si="1"/>
        <v>0</v>
      </c>
      <c r="Q30" s="15">
        <f t="shared" si="1"/>
        <v>0</v>
      </c>
      <c r="R30" s="15">
        <f t="shared" si="1"/>
        <v>0</v>
      </c>
      <c r="S30" s="15">
        <f t="shared" si="1"/>
        <v>0</v>
      </c>
      <c r="T30" s="15">
        <f t="shared" si="1"/>
        <v>0</v>
      </c>
      <c r="U30" s="15">
        <f t="shared" si="1"/>
        <v>0</v>
      </c>
      <c r="V30" s="15">
        <f t="shared" si="1"/>
        <v>0</v>
      </c>
      <c r="W30" s="15">
        <f t="shared" si="1"/>
        <v>0</v>
      </c>
      <c r="X30" s="15">
        <f t="shared" si="1"/>
        <v>0</v>
      </c>
      <c r="Y30" s="15">
        <f t="shared" si="1"/>
        <v>0</v>
      </c>
      <c r="Z30" s="15">
        <f t="shared" si="1"/>
        <v>0</v>
      </c>
      <c r="AA30" s="15">
        <f t="shared" si="1"/>
        <v>0</v>
      </c>
      <c r="AB30" s="15">
        <f t="shared" si="1"/>
        <v>0</v>
      </c>
      <c r="AC30" s="15">
        <f t="shared" si="1"/>
        <v>0</v>
      </c>
      <c r="AD30" s="15">
        <f t="shared" si="1"/>
        <v>0</v>
      </c>
      <c r="AE30" s="15">
        <f t="shared" si="1"/>
        <v>0</v>
      </c>
      <c r="AF30" s="15">
        <f t="shared" si="1"/>
        <v>0</v>
      </c>
      <c r="AG30" s="15">
        <f t="shared" si="1"/>
        <v>0</v>
      </c>
      <c r="AH30" s="15">
        <f t="shared" si="1"/>
        <v>0</v>
      </c>
      <c r="AI30" s="15">
        <f t="shared" si="1"/>
        <v>0</v>
      </c>
      <c r="AJ30" s="15">
        <f t="shared" si="1"/>
        <v>0</v>
      </c>
      <c r="AK30" s="15">
        <f t="shared" si="1"/>
        <v>0</v>
      </c>
      <c r="AL30" s="15">
        <f t="shared" si="1"/>
        <v>0</v>
      </c>
      <c r="AM30" s="15">
        <f t="shared" si="1"/>
        <v>0</v>
      </c>
      <c r="AN30" s="15">
        <f t="shared" si="1"/>
        <v>0</v>
      </c>
      <c r="AO30" s="15">
        <f t="shared" si="1"/>
        <v>0</v>
      </c>
      <c r="AP30" s="15">
        <f t="shared" si="1"/>
        <v>0</v>
      </c>
      <c r="AQ30" s="15">
        <f t="shared" si="1"/>
        <v>0</v>
      </c>
      <c r="AR30" s="15">
        <f t="shared" si="1"/>
        <v>0</v>
      </c>
      <c r="AS30" s="15">
        <f t="shared" si="1"/>
        <v>0</v>
      </c>
      <c r="AT30" s="15">
        <f t="shared" si="1"/>
        <v>0</v>
      </c>
      <c r="AU30" s="15">
        <f t="shared" si="1"/>
        <v>0</v>
      </c>
      <c r="AV30" s="15">
        <f t="shared" si="1"/>
        <v>0</v>
      </c>
      <c r="AW30" s="15">
        <f t="shared" si="1"/>
        <v>0</v>
      </c>
      <c r="AX30" s="15">
        <f t="shared" si="1"/>
        <v>0</v>
      </c>
      <c r="AY30" s="15">
        <f t="shared" si="1"/>
        <v>0</v>
      </c>
      <c r="AZ30" s="15">
        <f t="shared" si="1"/>
        <v>0</v>
      </c>
      <c r="BA30" s="15">
        <f t="shared" si="1"/>
        <v>0</v>
      </c>
      <c r="BB30" s="15">
        <f t="shared" si="1"/>
        <v>0</v>
      </c>
    </row>
    <row r="31" spans="2:54" ht="16.5" x14ac:dyDescent="0.3">
      <c r="B31" s="17"/>
      <c r="C31" s="14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</row>
    <row r="32" spans="2:54" ht="16.5" x14ac:dyDescent="0.3">
      <c r="B32" s="17"/>
      <c r="C32" s="14" t="s">
        <v>27</v>
      </c>
      <c r="D32" s="15">
        <f t="shared" ref="D32:AI32" si="2">IF(adProjCdCanton&lt;&gt;"Fond_UC",-adPrstTotNet-adPrstTotChgt,0)</f>
        <v>0</v>
      </c>
      <c r="E32" s="15">
        <f t="shared" si="2"/>
        <v>0</v>
      </c>
      <c r="F32" s="15">
        <f t="shared" si="2"/>
        <v>0</v>
      </c>
      <c r="G32" s="15">
        <f t="shared" si="2"/>
        <v>0</v>
      </c>
      <c r="H32" s="15">
        <f t="shared" si="2"/>
        <v>0</v>
      </c>
      <c r="I32" s="15">
        <f t="shared" si="2"/>
        <v>0</v>
      </c>
      <c r="J32" s="15">
        <f t="shared" si="2"/>
        <v>0</v>
      </c>
      <c r="K32" s="15">
        <f t="shared" si="2"/>
        <v>0</v>
      </c>
      <c r="L32" s="15">
        <f t="shared" si="2"/>
        <v>0</v>
      </c>
      <c r="M32" s="15">
        <f t="shared" si="2"/>
        <v>0</v>
      </c>
      <c r="N32" s="15">
        <f t="shared" si="2"/>
        <v>0</v>
      </c>
      <c r="O32" s="15">
        <f t="shared" si="2"/>
        <v>0</v>
      </c>
      <c r="P32" s="15">
        <f t="shared" si="2"/>
        <v>0</v>
      </c>
      <c r="Q32" s="15">
        <f t="shared" si="2"/>
        <v>0</v>
      </c>
      <c r="R32" s="15">
        <f t="shared" si="2"/>
        <v>0</v>
      </c>
      <c r="S32" s="15">
        <f t="shared" si="2"/>
        <v>0</v>
      </c>
      <c r="T32" s="15">
        <f t="shared" si="2"/>
        <v>0</v>
      </c>
      <c r="U32" s="15">
        <f t="shared" si="2"/>
        <v>0</v>
      </c>
      <c r="V32" s="15">
        <f t="shared" si="2"/>
        <v>0</v>
      </c>
      <c r="W32" s="15">
        <f t="shared" si="2"/>
        <v>0</v>
      </c>
      <c r="X32" s="15">
        <f t="shared" si="2"/>
        <v>0</v>
      </c>
      <c r="Y32" s="15">
        <f t="shared" si="2"/>
        <v>0</v>
      </c>
      <c r="Z32" s="15">
        <f t="shared" si="2"/>
        <v>0</v>
      </c>
      <c r="AA32" s="15">
        <f t="shared" si="2"/>
        <v>0</v>
      </c>
      <c r="AB32" s="15">
        <f t="shared" si="2"/>
        <v>0</v>
      </c>
      <c r="AC32" s="15">
        <f t="shared" si="2"/>
        <v>0</v>
      </c>
      <c r="AD32" s="15">
        <f t="shared" si="2"/>
        <v>0</v>
      </c>
      <c r="AE32" s="15">
        <f t="shared" si="2"/>
        <v>0</v>
      </c>
      <c r="AF32" s="15">
        <f t="shared" si="2"/>
        <v>0</v>
      </c>
      <c r="AG32" s="15">
        <f t="shared" si="2"/>
        <v>0</v>
      </c>
      <c r="AH32" s="15">
        <f t="shared" si="2"/>
        <v>0</v>
      </c>
      <c r="AI32" s="15">
        <f t="shared" si="2"/>
        <v>0</v>
      </c>
      <c r="AJ32" s="15">
        <f t="shared" ref="AJ32:BB32" si="3">IF(adProjCdCanton&lt;&gt;"Fond_UC",-adPrstTotNet-adPrstTotChgt,0)</f>
        <v>0</v>
      </c>
      <c r="AK32" s="15">
        <f t="shared" si="3"/>
        <v>0</v>
      </c>
      <c r="AL32" s="15">
        <f t="shared" si="3"/>
        <v>0</v>
      </c>
      <c r="AM32" s="15">
        <f t="shared" si="3"/>
        <v>0</v>
      </c>
      <c r="AN32" s="15">
        <f t="shared" si="3"/>
        <v>0</v>
      </c>
      <c r="AO32" s="15">
        <f t="shared" si="3"/>
        <v>0</v>
      </c>
      <c r="AP32" s="15">
        <f t="shared" si="3"/>
        <v>0</v>
      </c>
      <c r="AQ32" s="15">
        <f t="shared" si="3"/>
        <v>0</v>
      </c>
      <c r="AR32" s="15">
        <f t="shared" si="3"/>
        <v>0</v>
      </c>
      <c r="AS32" s="15">
        <f t="shared" si="3"/>
        <v>0</v>
      </c>
      <c r="AT32" s="15">
        <f t="shared" si="3"/>
        <v>0</v>
      </c>
      <c r="AU32" s="15">
        <f t="shared" si="3"/>
        <v>0</v>
      </c>
      <c r="AV32" s="15">
        <f t="shared" si="3"/>
        <v>0</v>
      </c>
      <c r="AW32" s="15">
        <f t="shared" si="3"/>
        <v>0</v>
      </c>
      <c r="AX32" s="15">
        <f t="shared" si="3"/>
        <v>0</v>
      </c>
      <c r="AY32" s="15">
        <f t="shared" si="3"/>
        <v>0</v>
      </c>
      <c r="AZ32" s="15">
        <f t="shared" si="3"/>
        <v>0</v>
      </c>
      <c r="BA32" s="15">
        <f t="shared" si="3"/>
        <v>0</v>
      </c>
      <c r="BB32" s="15">
        <f t="shared" si="3"/>
        <v>0</v>
      </c>
    </row>
    <row r="33" spans="2:54" ht="16.5" x14ac:dyDescent="0.3">
      <c r="B33" s="17"/>
      <c r="C33" s="19" t="s">
        <v>28</v>
      </c>
      <c r="D33" s="15"/>
      <c r="E33" s="15">
        <f t="shared" ref="E33:AJ33" si="4">IF(adProjIteration&lt;=adProjHorizon,adVcFinTotPrec+adPfisPerfTotal+adCfPassifPerf-adVcPerfTotal,0)</f>
        <v>0</v>
      </c>
      <c r="F33" s="15">
        <f t="shared" si="4"/>
        <v>0</v>
      </c>
      <c r="G33" s="15">
        <f t="shared" si="4"/>
        <v>0</v>
      </c>
      <c r="H33" s="15">
        <f t="shared" si="4"/>
        <v>0</v>
      </c>
      <c r="I33" s="15">
        <f t="shared" si="4"/>
        <v>0</v>
      </c>
      <c r="J33" s="15">
        <f t="shared" si="4"/>
        <v>0</v>
      </c>
      <c r="K33" s="15">
        <f t="shared" si="4"/>
        <v>0</v>
      </c>
      <c r="L33" s="15">
        <f t="shared" si="4"/>
        <v>0</v>
      </c>
      <c r="M33" s="15">
        <f t="shared" si="4"/>
        <v>0</v>
      </c>
      <c r="N33" s="15">
        <f t="shared" si="4"/>
        <v>0</v>
      </c>
      <c r="O33" s="15">
        <f t="shared" si="4"/>
        <v>0</v>
      </c>
      <c r="P33" s="15">
        <f t="shared" si="4"/>
        <v>0</v>
      </c>
      <c r="Q33" s="15">
        <f t="shared" si="4"/>
        <v>0</v>
      </c>
      <c r="R33" s="15">
        <f t="shared" si="4"/>
        <v>0</v>
      </c>
      <c r="S33" s="15">
        <f t="shared" si="4"/>
        <v>0</v>
      </c>
      <c r="T33" s="15">
        <f t="shared" si="4"/>
        <v>0</v>
      </c>
      <c r="U33" s="15">
        <f t="shared" si="4"/>
        <v>0</v>
      </c>
      <c r="V33" s="15">
        <f t="shared" si="4"/>
        <v>0</v>
      </c>
      <c r="W33" s="15">
        <f t="shared" si="4"/>
        <v>0</v>
      </c>
      <c r="X33" s="15">
        <f t="shared" si="4"/>
        <v>0</v>
      </c>
      <c r="Y33" s="15">
        <f t="shared" si="4"/>
        <v>0</v>
      </c>
      <c r="Z33" s="15">
        <f t="shared" si="4"/>
        <v>0</v>
      </c>
      <c r="AA33" s="15">
        <f t="shared" si="4"/>
        <v>0</v>
      </c>
      <c r="AB33" s="15">
        <f t="shared" si="4"/>
        <v>0</v>
      </c>
      <c r="AC33" s="15">
        <f t="shared" si="4"/>
        <v>0</v>
      </c>
      <c r="AD33" s="15">
        <f t="shared" si="4"/>
        <v>0</v>
      </c>
      <c r="AE33" s="15">
        <f t="shared" si="4"/>
        <v>0</v>
      </c>
      <c r="AF33" s="15">
        <f t="shared" si="4"/>
        <v>0</v>
      </c>
      <c r="AG33" s="15">
        <f t="shared" si="4"/>
        <v>0</v>
      </c>
      <c r="AH33" s="15">
        <f t="shared" si="4"/>
        <v>0</v>
      </c>
      <c r="AI33" s="15">
        <f t="shared" si="4"/>
        <v>0</v>
      </c>
      <c r="AJ33" s="15">
        <f t="shared" si="4"/>
        <v>0</v>
      </c>
      <c r="AK33" s="15">
        <f t="shared" ref="AK33:BB33" si="5">IF(adProjIteration&lt;=adProjHorizon,adVcFinTotPrec+adPfisPerfTotal+adCfPassifPerf-adVcPerfTotal,0)</f>
        <v>0</v>
      </c>
      <c r="AL33" s="15">
        <f t="shared" si="5"/>
        <v>0</v>
      </c>
      <c r="AM33" s="15">
        <f t="shared" si="5"/>
        <v>0</v>
      </c>
      <c r="AN33" s="15">
        <f t="shared" si="5"/>
        <v>0</v>
      </c>
      <c r="AO33" s="15">
        <f t="shared" si="5"/>
        <v>0</v>
      </c>
      <c r="AP33" s="15">
        <f t="shared" si="5"/>
        <v>0</v>
      </c>
      <c r="AQ33" s="15">
        <f t="shared" si="5"/>
        <v>0</v>
      </c>
      <c r="AR33" s="15">
        <f t="shared" si="5"/>
        <v>0</v>
      </c>
      <c r="AS33" s="15">
        <f t="shared" si="5"/>
        <v>0</v>
      </c>
      <c r="AT33" s="15">
        <f t="shared" si="5"/>
        <v>0</v>
      </c>
      <c r="AU33" s="15">
        <f t="shared" si="5"/>
        <v>0</v>
      </c>
      <c r="AV33" s="15">
        <f t="shared" si="5"/>
        <v>0</v>
      </c>
      <c r="AW33" s="15">
        <f t="shared" si="5"/>
        <v>0</v>
      </c>
      <c r="AX33" s="15">
        <f t="shared" si="5"/>
        <v>0</v>
      </c>
      <c r="AY33" s="15">
        <f t="shared" si="5"/>
        <v>0</v>
      </c>
      <c r="AZ33" s="15">
        <f t="shared" si="5"/>
        <v>0</v>
      </c>
      <c r="BA33" s="15">
        <f t="shared" si="5"/>
        <v>0</v>
      </c>
      <c r="BB33" s="15">
        <f t="shared" si="5"/>
        <v>0</v>
      </c>
    </row>
    <row r="34" spans="2:54" ht="16.5" x14ac:dyDescent="0.3">
      <c r="B34" s="17"/>
      <c r="C34" s="19" t="s">
        <v>29</v>
      </c>
      <c r="D34" s="20" t="b">
        <f>AND(E34:BB34)</f>
        <v>1</v>
      </c>
      <c r="E34" s="20" t="b">
        <f>ABS(E33)&lt;1</f>
        <v>1</v>
      </c>
      <c r="F34" s="20" t="b">
        <f t="shared" ref="F34:BB34" si="6">ABS(F33)&lt;1</f>
        <v>1</v>
      </c>
      <c r="G34" s="20" t="b">
        <f t="shared" si="6"/>
        <v>1</v>
      </c>
      <c r="H34" s="20" t="b">
        <f t="shared" si="6"/>
        <v>1</v>
      </c>
      <c r="I34" s="20" t="b">
        <f t="shared" si="6"/>
        <v>1</v>
      </c>
      <c r="J34" s="20" t="b">
        <f t="shared" si="6"/>
        <v>1</v>
      </c>
      <c r="K34" s="20" t="b">
        <f t="shared" si="6"/>
        <v>1</v>
      </c>
      <c r="L34" s="20" t="b">
        <f t="shared" si="6"/>
        <v>1</v>
      </c>
      <c r="M34" s="20" t="b">
        <f t="shared" si="6"/>
        <v>1</v>
      </c>
      <c r="N34" s="20" t="b">
        <f t="shared" si="6"/>
        <v>1</v>
      </c>
      <c r="O34" s="20" t="b">
        <f t="shared" si="6"/>
        <v>1</v>
      </c>
      <c r="P34" s="20" t="b">
        <f t="shared" si="6"/>
        <v>1</v>
      </c>
      <c r="Q34" s="20" t="b">
        <f t="shared" si="6"/>
        <v>1</v>
      </c>
      <c r="R34" s="20" t="b">
        <f t="shared" si="6"/>
        <v>1</v>
      </c>
      <c r="S34" s="20" t="b">
        <f t="shared" si="6"/>
        <v>1</v>
      </c>
      <c r="T34" s="20" t="b">
        <f t="shared" si="6"/>
        <v>1</v>
      </c>
      <c r="U34" s="20" t="b">
        <f t="shared" si="6"/>
        <v>1</v>
      </c>
      <c r="V34" s="20" t="b">
        <f t="shared" si="6"/>
        <v>1</v>
      </c>
      <c r="W34" s="20" t="b">
        <f t="shared" si="6"/>
        <v>1</v>
      </c>
      <c r="X34" s="20" t="b">
        <f t="shared" si="6"/>
        <v>1</v>
      </c>
      <c r="Y34" s="20" t="b">
        <f t="shared" si="6"/>
        <v>1</v>
      </c>
      <c r="Z34" s="20" t="b">
        <f t="shared" si="6"/>
        <v>1</v>
      </c>
      <c r="AA34" s="20" t="b">
        <f t="shared" si="6"/>
        <v>1</v>
      </c>
      <c r="AB34" s="20" t="b">
        <f t="shared" si="6"/>
        <v>1</v>
      </c>
      <c r="AC34" s="20" t="b">
        <f t="shared" si="6"/>
        <v>1</v>
      </c>
      <c r="AD34" s="20" t="b">
        <f t="shared" si="6"/>
        <v>1</v>
      </c>
      <c r="AE34" s="20" t="b">
        <f t="shared" si="6"/>
        <v>1</v>
      </c>
      <c r="AF34" s="20" t="b">
        <f t="shared" si="6"/>
        <v>1</v>
      </c>
      <c r="AG34" s="20" t="b">
        <f t="shared" si="6"/>
        <v>1</v>
      </c>
      <c r="AH34" s="20" t="b">
        <f t="shared" si="6"/>
        <v>1</v>
      </c>
      <c r="AI34" s="20" t="b">
        <f t="shared" si="6"/>
        <v>1</v>
      </c>
      <c r="AJ34" s="20" t="b">
        <f t="shared" si="6"/>
        <v>1</v>
      </c>
      <c r="AK34" s="20" t="b">
        <f t="shared" si="6"/>
        <v>1</v>
      </c>
      <c r="AL34" s="20" t="b">
        <f t="shared" si="6"/>
        <v>1</v>
      </c>
      <c r="AM34" s="20" t="b">
        <f t="shared" si="6"/>
        <v>1</v>
      </c>
      <c r="AN34" s="20" t="b">
        <f t="shared" si="6"/>
        <v>1</v>
      </c>
      <c r="AO34" s="20" t="b">
        <f t="shared" si="6"/>
        <v>1</v>
      </c>
      <c r="AP34" s="20" t="b">
        <f t="shared" si="6"/>
        <v>1</v>
      </c>
      <c r="AQ34" s="20" t="b">
        <f t="shared" si="6"/>
        <v>1</v>
      </c>
      <c r="AR34" s="20" t="b">
        <f t="shared" si="6"/>
        <v>1</v>
      </c>
      <c r="AS34" s="20" t="b">
        <f t="shared" si="6"/>
        <v>1</v>
      </c>
      <c r="AT34" s="20" t="b">
        <f t="shared" si="6"/>
        <v>1</v>
      </c>
      <c r="AU34" s="20" t="b">
        <f t="shared" si="6"/>
        <v>1</v>
      </c>
      <c r="AV34" s="20" t="b">
        <f t="shared" si="6"/>
        <v>1</v>
      </c>
      <c r="AW34" s="20" t="b">
        <f t="shared" si="6"/>
        <v>1</v>
      </c>
      <c r="AX34" s="20" t="b">
        <f t="shared" si="6"/>
        <v>1</v>
      </c>
      <c r="AY34" s="20" t="b">
        <f t="shared" si="6"/>
        <v>1</v>
      </c>
      <c r="AZ34" s="20" t="b">
        <f t="shared" si="6"/>
        <v>1</v>
      </c>
      <c r="BA34" s="20" t="b">
        <f t="shared" si="6"/>
        <v>1</v>
      </c>
      <c r="BB34" s="20" t="b">
        <f t="shared" si="6"/>
        <v>1</v>
      </c>
    </row>
    <row r="35" spans="2:54" ht="16.5" x14ac:dyDescent="0.3">
      <c r="B35" s="17"/>
      <c r="C35" s="14"/>
      <c r="D35" s="15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</row>
    <row r="36" spans="2:54" ht="16.5" x14ac:dyDescent="0.3">
      <c r="B36" s="17"/>
      <c r="C36" s="18" t="s">
        <v>30</v>
      </c>
      <c r="D36" s="15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2:54" ht="16.5" x14ac:dyDescent="0.3">
      <c r="B37" s="17"/>
      <c r="C37" s="14" t="s">
        <v>31</v>
      </c>
      <c r="D37" s="15">
        <f>SUMIFS(PrdAdActif!$M:$M,PrdAdActif!$B:$B,adProjChocS2,PrdAdActif!$C:$C,adProjScenario,PrdAdActif!$F:$F,adProjCdCanton,PrdAdActif!$D:$D,adProjIteration,PrdAdActif!$I:$I,"2.StratInv")</f>
        <v>0</v>
      </c>
      <c r="E37" s="15">
        <f>SUMIFS(PrdAdActif!$M:$M,PrdAdActif!$B:$B,adProjChocS2,PrdAdActif!$C:$C,adProjScenario,PrdAdActif!$F:$F,adProjCdCanton,PrdAdActif!$D:$D,adProjIteration,PrdAdActif!$I:$I,"2.StratInv")</f>
        <v>0</v>
      </c>
      <c r="F37" s="15">
        <f>SUMIFS(PrdAdActif!$M:$M,PrdAdActif!$B:$B,adProjChocS2,PrdAdActif!$C:$C,adProjScenario,PrdAdActif!$F:$F,adProjCdCanton,PrdAdActif!$D:$D,adProjIteration,PrdAdActif!$I:$I,"2.StratInv")</f>
        <v>0</v>
      </c>
      <c r="G37" s="15">
        <f>SUMIFS(PrdAdActif!$M:$M,PrdAdActif!$B:$B,adProjChocS2,PrdAdActif!$C:$C,adProjScenario,PrdAdActif!$F:$F,adProjCdCanton,PrdAdActif!$D:$D,adProjIteration,PrdAdActif!$I:$I,"2.StratInv")</f>
        <v>0</v>
      </c>
      <c r="H37" s="15">
        <f>SUMIFS(PrdAdActif!$M:$M,PrdAdActif!$B:$B,adProjChocS2,PrdAdActif!$C:$C,adProjScenario,PrdAdActif!$F:$F,adProjCdCanton,PrdAdActif!$D:$D,adProjIteration,PrdAdActif!$I:$I,"2.StratInv")</f>
        <v>0</v>
      </c>
      <c r="I37" s="15">
        <f>SUMIFS(PrdAdActif!$M:$M,PrdAdActif!$B:$B,adProjChocS2,PrdAdActif!$C:$C,adProjScenario,PrdAdActif!$F:$F,adProjCdCanton,PrdAdActif!$D:$D,adProjIteration,PrdAdActif!$I:$I,"2.StratInv")</f>
        <v>0</v>
      </c>
      <c r="J37" s="15">
        <f>SUMIFS(PrdAdActif!$M:$M,PrdAdActif!$B:$B,adProjChocS2,PrdAdActif!$C:$C,adProjScenario,PrdAdActif!$F:$F,adProjCdCanton,PrdAdActif!$D:$D,adProjIteration,PrdAdActif!$I:$I,"2.StratInv")</f>
        <v>0</v>
      </c>
      <c r="K37" s="15">
        <f>SUMIFS(PrdAdActif!$M:$M,PrdAdActif!$B:$B,adProjChocS2,PrdAdActif!$C:$C,adProjScenario,PrdAdActif!$F:$F,adProjCdCanton,PrdAdActif!$D:$D,adProjIteration,PrdAdActif!$I:$I,"2.StratInv")</f>
        <v>0</v>
      </c>
      <c r="L37" s="15">
        <f>SUMIFS(PrdAdActif!$M:$M,PrdAdActif!$B:$B,adProjChocS2,PrdAdActif!$C:$C,adProjScenario,PrdAdActif!$F:$F,adProjCdCanton,PrdAdActif!$D:$D,adProjIteration,PrdAdActif!$I:$I,"2.StratInv")</f>
        <v>0</v>
      </c>
      <c r="M37" s="15">
        <f>SUMIFS(PrdAdActif!$M:$M,PrdAdActif!$B:$B,adProjChocS2,PrdAdActif!$C:$C,adProjScenario,PrdAdActif!$F:$F,adProjCdCanton,PrdAdActif!$D:$D,adProjIteration,PrdAdActif!$I:$I,"2.StratInv")</f>
        <v>0</v>
      </c>
      <c r="N37" s="15">
        <f>SUMIFS(PrdAdActif!$M:$M,PrdAdActif!$B:$B,adProjChocS2,PrdAdActif!$C:$C,adProjScenario,PrdAdActif!$F:$F,adProjCdCanton,PrdAdActif!$D:$D,adProjIteration,PrdAdActif!$I:$I,"2.StratInv")</f>
        <v>0</v>
      </c>
      <c r="O37" s="15">
        <f>SUMIFS(PrdAdActif!$M:$M,PrdAdActif!$B:$B,adProjChocS2,PrdAdActif!$C:$C,adProjScenario,PrdAdActif!$F:$F,adProjCdCanton,PrdAdActif!$D:$D,adProjIteration,PrdAdActif!$I:$I,"2.StratInv")</f>
        <v>0</v>
      </c>
      <c r="P37" s="15">
        <f>SUMIFS(PrdAdActif!$M:$M,PrdAdActif!$B:$B,adProjChocS2,PrdAdActif!$C:$C,adProjScenario,PrdAdActif!$F:$F,adProjCdCanton,PrdAdActif!$D:$D,adProjIteration,PrdAdActif!$I:$I,"2.StratInv")</f>
        <v>0</v>
      </c>
      <c r="Q37" s="15">
        <f>SUMIFS(PrdAdActif!$M:$M,PrdAdActif!$B:$B,adProjChocS2,PrdAdActif!$C:$C,adProjScenario,PrdAdActif!$F:$F,adProjCdCanton,PrdAdActif!$D:$D,adProjIteration,PrdAdActif!$I:$I,"2.StratInv")</f>
        <v>0</v>
      </c>
      <c r="R37" s="15">
        <f>SUMIFS(PrdAdActif!$M:$M,PrdAdActif!$B:$B,adProjChocS2,PrdAdActif!$C:$C,adProjScenario,PrdAdActif!$F:$F,adProjCdCanton,PrdAdActif!$D:$D,adProjIteration,PrdAdActif!$I:$I,"2.StratInv")</f>
        <v>0</v>
      </c>
      <c r="S37" s="15">
        <f>SUMIFS(PrdAdActif!$M:$M,PrdAdActif!$B:$B,adProjChocS2,PrdAdActif!$C:$C,adProjScenario,PrdAdActif!$F:$F,adProjCdCanton,PrdAdActif!$D:$D,adProjIteration,PrdAdActif!$I:$I,"2.StratInv")</f>
        <v>0</v>
      </c>
      <c r="T37" s="15">
        <f>SUMIFS(PrdAdActif!$M:$M,PrdAdActif!$B:$B,adProjChocS2,PrdAdActif!$C:$C,adProjScenario,PrdAdActif!$F:$F,adProjCdCanton,PrdAdActif!$D:$D,adProjIteration,PrdAdActif!$I:$I,"2.StratInv")</f>
        <v>0</v>
      </c>
      <c r="U37" s="15">
        <f>SUMIFS(PrdAdActif!$M:$M,PrdAdActif!$B:$B,adProjChocS2,PrdAdActif!$C:$C,adProjScenario,PrdAdActif!$F:$F,adProjCdCanton,PrdAdActif!$D:$D,adProjIteration,PrdAdActif!$I:$I,"2.StratInv")</f>
        <v>0</v>
      </c>
      <c r="V37" s="15">
        <f>SUMIFS(PrdAdActif!$M:$M,PrdAdActif!$B:$B,adProjChocS2,PrdAdActif!$C:$C,adProjScenario,PrdAdActif!$F:$F,adProjCdCanton,PrdAdActif!$D:$D,adProjIteration,PrdAdActif!$I:$I,"2.StratInv")</f>
        <v>0</v>
      </c>
      <c r="W37" s="15">
        <f>SUMIFS(PrdAdActif!$M:$M,PrdAdActif!$B:$B,adProjChocS2,PrdAdActif!$C:$C,adProjScenario,PrdAdActif!$F:$F,adProjCdCanton,PrdAdActif!$D:$D,adProjIteration,PrdAdActif!$I:$I,"2.StratInv")</f>
        <v>0</v>
      </c>
      <c r="X37" s="15">
        <f>SUMIFS(PrdAdActif!$M:$M,PrdAdActif!$B:$B,adProjChocS2,PrdAdActif!$C:$C,adProjScenario,PrdAdActif!$F:$F,adProjCdCanton,PrdAdActif!$D:$D,adProjIteration,PrdAdActif!$I:$I,"2.StratInv")</f>
        <v>0</v>
      </c>
      <c r="Y37" s="15">
        <f>SUMIFS(PrdAdActif!$M:$M,PrdAdActif!$B:$B,adProjChocS2,PrdAdActif!$C:$C,adProjScenario,PrdAdActif!$F:$F,adProjCdCanton,PrdAdActif!$D:$D,adProjIteration,PrdAdActif!$I:$I,"2.StratInv")</f>
        <v>0</v>
      </c>
      <c r="Z37" s="15">
        <f>SUMIFS(PrdAdActif!$M:$M,PrdAdActif!$B:$B,adProjChocS2,PrdAdActif!$C:$C,adProjScenario,PrdAdActif!$F:$F,adProjCdCanton,PrdAdActif!$D:$D,adProjIteration,PrdAdActif!$I:$I,"2.StratInv")</f>
        <v>0</v>
      </c>
      <c r="AA37" s="15">
        <f>SUMIFS(PrdAdActif!$M:$M,PrdAdActif!$B:$B,adProjChocS2,PrdAdActif!$C:$C,adProjScenario,PrdAdActif!$F:$F,adProjCdCanton,PrdAdActif!$D:$D,adProjIteration,PrdAdActif!$I:$I,"2.StratInv")</f>
        <v>0</v>
      </c>
      <c r="AB37" s="15">
        <f>SUMIFS(PrdAdActif!$M:$M,PrdAdActif!$B:$B,adProjChocS2,PrdAdActif!$C:$C,adProjScenario,PrdAdActif!$F:$F,adProjCdCanton,PrdAdActif!$D:$D,adProjIteration,PrdAdActif!$I:$I,"2.StratInv")</f>
        <v>0</v>
      </c>
      <c r="AC37" s="15">
        <f>SUMIFS(PrdAdActif!$M:$M,PrdAdActif!$B:$B,adProjChocS2,PrdAdActif!$C:$C,adProjScenario,PrdAdActif!$F:$F,adProjCdCanton,PrdAdActif!$D:$D,adProjIteration,PrdAdActif!$I:$I,"2.StratInv")</f>
        <v>0</v>
      </c>
      <c r="AD37" s="15">
        <f>SUMIFS(PrdAdActif!$M:$M,PrdAdActif!$B:$B,adProjChocS2,PrdAdActif!$C:$C,adProjScenario,PrdAdActif!$F:$F,adProjCdCanton,PrdAdActif!$D:$D,adProjIteration,PrdAdActif!$I:$I,"2.StratInv")</f>
        <v>0</v>
      </c>
      <c r="AE37" s="15">
        <f>SUMIFS(PrdAdActif!$M:$M,PrdAdActif!$B:$B,adProjChocS2,PrdAdActif!$C:$C,adProjScenario,PrdAdActif!$F:$F,adProjCdCanton,PrdAdActif!$D:$D,adProjIteration,PrdAdActif!$I:$I,"2.StratInv")</f>
        <v>0</v>
      </c>
      <c r="AF37" s="15">
        <f>SUMIFS(PrdAdActif!$M:$M,PrdAdActif!$B:$B,adProjChocS2,PrdAdActif!$C:$C,adProjScenario,PrdAdActif!$F:$F,adProjCdCanton,PrdAdActif!$D:$D,adProjIteration,PrdAdActif!$I:$I,"2.StratInv")</f>
        <v>0</v>
      </c>
      <c r="AG37" s="15">
        <f>SUMIFS(PrdAdActif!$M:$M,PrdAdActif!$B:$B,adProjChocS2,PrdAdActif!$C:$C,adProjScenario,PrdAdActif!$F:$F,adProjCdCanton,PrdAdActif!$D:$D,adProjIteration,PrdAdActif!$I:$I,"2.StratInv")</f>
        <v>0</v>
      </c>
      <c r="AH37" s="15">
        <f>SUMIFS(PrdAdActif!$M:$M,PrdAdActif!$B:$B,adProjChocS2,PrdAdActif!$C:$C,adProjScenario,PrdAdActif!$F:$F,adProjCdCanton,PrdAdActif!$D:$D,adProjIteration,PrdAdActif!$I:$I,"2.StratInv")</f>
        <v>0</v>
      </c>
      <c r="AI37" s="15">
        <f>SUMIFS(PrdAdActif!$M:$M,PrdAdActif!$B:$B,adProjChocS2,PrdAdActif!$C:$C,adProjScenario,PrdAdActif!$F:$F,adProjCdCanton,PrdAdActif!$D:$D,adProjIteration,PrdAdActif!$I:$I,"2.StratInv")</f>
        <v>0</v>
      </c>
      <c r="AJ37" s="15">
        <f>SUMIFS(PrdAdActif!$M:$M,PrdAdActif!$B:$B,adProjChocS2,PrdAdActif!$C:$C,adProjScenario,PrdAdActif!$F:$F,adProjCdCanton,PrdAdActif!$D:$D,adProjIteration,PrdAdActif!$I:$I,"2.StratInv")</f>
        <v>0</v>
      </c>
      <c r="AK37" s="15">
        <f>SUMIFS(PrdAdActif!$M:$M,PrdAdActif!$B:$B,adProjChocS2,PrdAdActif!$C:$C,adProjScenario,PrdAdActif!$F:$F,adProjCdCanton,PrdAdActif!$D:$D,adProjIteration,PrdAdActif!$I:$I,"2.StratInv")</f>
        <v>0</v>
      </c>
      <c r="AL37" s="15">
        <f>SUMIFS(PrdAdActif!$M:$M,PrdAdActif!$B:$B,adProjChocS2,PrdAdActif!$C:$C,adProjScenario,PrdAdActif!$F:$F,adProjCdCanton,PrdAdActif!$D:$D,adProjIteration,PrdAdActif!$I:$I,"2.StratInv")</f>
        <v>0</v>
      </c>
      <c r="AM37" s="15">
        <f>SUMIFS(PrdAdActif!$M:$M,PrdAdActif!$B:$B,adProjChocS2,PrdAdActif!$C:$C,adProjScenario,PrdAdActif!$F:$F,adProjCdCanton,PrdAdActif!$D:$D,adProjIteration,PrdAdActif!$I:$I,"2.StratInv")</f>
        <v>0</v>
      </c>
      <c r="AN37" s="15">
        <f>SUMIFS(PrdAdActif!$M:$M,PrdAdActif!$B:$B,adProjChocS2,PrdAdActif!$C:$C,adProjScenario,PrdAdActif!$F:$F,adProjCdCanton,PrdAdActif!$D:$D,adProjIteration,PrdAdActif!$I:$I,"2.StratInv")</f>
        <v>0</v>
      </c>
      <c r="AO37" s="15">
        <f>SUMIFS(PrdAdActif!$M:$M,PrdAdActif!$B:$B,adProjChocS2,PrdAdActif!$C:$C,adProjScenario,PrdAdActif!$F:$F,adProjCdCanton,PrdAdActif!$D:$D,adProjIteration,PrdAdActif!$I:$I,"2.StratInv")</f>
        <v>0</v>
      </c>
      <c r="AP37" s="15">
        <f>SUMIFS(PrdAdActif!$M:$M,PrdAdActif!$B:$B,adProjChocS2,PrdAdActif!$C:$C,adProjScenario,PrdAdActif!$F:$F,adProjCdCanton,PrdAdActif!$D:$D,adProjIteration,PrdAdActif!$I:$I,"2.StratInv")</f>
        <v>0</v>
      </c>
      <c r="AQ37" s="15">
        <f>SUMIFS(PrdAdActif!$M:$M,PrdAdActif!$B:$B,adProjChocS2,PrdAdActif!$C:$C,adProjScenario,PrdAdActif!$F:$F,adProjCdCanton,PrdAdActif!$D:$D,adProjIteration,PrdAdActif!$I:$I,"2.StratInv")</f>
        <v>0</v>
      </c>
      <c r="AR37" s="15">
        <f>SUMIFS(PrdAdActif!$M:$M,PrdAdActif!$B:$B,adProjChocS2,PrdAdActif!$C:$C,adProjScenario,PrdAdActif!$F:$F,adProjCdCanton,PrdAdActif!$D:$D,adProjIteration,PrdAdActif!$I:$I,"2.StratInv")</f>
        <v>0</v>
      </c>
      <c r="AS37" s="15">
        <f>SUMIFS(PrdAdActif!$M:$M,PrdAdActif!$B:$B,adProjChocS2,PrdAdActif!$C:$C,adProjScenario,PrdAdActif!$F:$F,adProjCdCanton,PrdAdActif!$D:$D,adProjIteration,PrdAdActif!$I:$I,"2.StratInv")</f>
        <v>0</v>
      </c>
      <c r="AT37" s="15">
        <f>SUMIFS(PrdAdActif!$M:$M,PrdAdActif!$B:$B,adProjChocS2,PrdAdActif!$C:$C,adProjScenario,PrdAdActif!$F:$F,adProjCdCanton,PrdAdActif!$D:$D,adProjIteration,PrdAdActif!$I:$I,"2.StratInv")</f>
        <v>0</v>
      </c>
      <c r="AU37" s="15">
        <f>SUMIFS(PrdAdActif!$M:$M,PrdAdActif!$B:$B,adProjChocS2,PrdAdActif!$C:$C,adProjScenario,PrdAdActif!$F:$F,adProjCdCanton,PrdAdActif!$D:$D,adProjIteration,PrdAdActif!$I:$I,"2.StratInv")</f>
        <v>0</v>
      </c>
      <c r="AV37" s="15">
        <f>SUMIFS(PrdAdActif!$M:$M,PrdAdActif!$B:$B,adProjChocS2,PrdAdActif!$C:$C,adProjScenario,PrdAdActif!$F:$F,adProjCdCanton,PrdAdActif!$D:$D,adProjIteration,PrdAdActif!$I:$I,"2.StratInv")</f>
        <v>0</v>
      </c>
      <c r="AW37" s="15">
        <f>SUMIFS(PrdAdActif!$M:$M,PrdAdActif!$B:$B,adProjChocS2,PrdAdActif!$C:$C,adProjScenario,PrdAdActif!$F:$F,adProjCdCanton,PrdAdActif!$D:$D,adProjIteration,PrdAdActif!$I:$I,"2.StratInv")</f>
        <v>0</v>
      </c>
      <c r="AX37" s="15">
        <f>SUMIFS(PrdAdActif!$M:$M,PrdAdActif!$B:$B,adProjChocS2,PrdAdActif!$C:$C,adProjScenario,PrdAdActif!$F:$F,adProjCdCanton,PrdAdActif!$D:$D,adProjIteration,PrdAdActif!$I:$I,"2.StratInv")</f>
        <v>0</v>
      </c>
      <c r="AY37" s="15">
        <f>SUMIFS(PrdAdActif!$M:$M,PrdAdActif!$B:$B,adProjChocS2,PrdAdActif!$C:$C,adProjScenario,PrdAdActif!$F:$F,adProjCdCanton,PrdAdActif!$D:$D,adProjIteration,PrdAdActif!$I:$I,"2.StratInv")</f>
        <v>0</v>
      </c>
      <c r="AZ37" s="15">
        <f>SUMIFS(PrdAdActif!$M:$M,PrdAdActif!$B:$B,adProjChocS2,PrdAdActif!$C:$C,adProjScenario,PrdAdActif!$F:$F,adProjCdCanton,PrdAdActif!$D:$D,adProjIteration,PrdAdActif!$I:$I,"2.StratInv")</f>
        <v>0</v>
      </c>
      <c r="BA37" s="15">
        <f>SUMIFS(PrdAdActif!$M:$M,PrdAdActif!$B:$B,adProjChocS2,PrdAdActif!$C:$C,adProjScenario,PrdAdActif!$F:$F,adProjCdCanton,PrdAdActif!$D:$D,adProjIteration,PrdAdActif!$I:$I,"2.StratInv")</f>
        <v>0</v>
      </c>
      <c r="BB37" s="15">
        <f>SUMIFS(PrdAdActif!$M:$M,PrdAdActif!$B:$B,adProjChocS2,PrdAdActif!$C:$C,adProjScenario,PrdAdActif!$F:$F,adProjCdCanton,PrdAdActif!$D:$D,adProjIteration,PrdAdActif!$I:$I,"2.StratInv")</f>
        <v>0</v>
      </c>
    </row>
    <row r="38" spans="2:54" ht="16.5" x14ac:dyDescent="0.3">
      <c r="B38" s="17"/>
      <c r="C38" s="14" t="s">
        <v>32</v>
      </c>
      <c r="D38" s="15">
        <f>SUMIFS(PrdAdActif!$O:$O,PrdAdActif!$B:$B,adProjChocS2,PrdAdActif!$C:$C,adProjScenario,PrdAdActif!$F:$F,adProjCdCanton,PrdAdActif!$D:$D,adProjIteration,PrdAdActif!$I:$I,"2.StratInv")</f>
        <v>0</v>
      </c>
      <c r="E38" s="15">
        <f>SUMIFS(PrdAdActif!$O:$O,PrdAdActif!$B:$B,adProjChocS2,PrdAdActif!$C:$C,adProjScenario,PrdAdActif!$F:$F,adProjCdCanton,PrdAdActif!$D:$D,adProjIteration,PrdAdActif!$I:$I,"2.StratInv")</f>
        <v>0</v>
      </c>
      <c r="F38" s="15">
        <f>SUMIFS(PrdAdActif!$O:$O,PrdAdActif!$B:$B,adProjChocS2,PrdAdActif!$C:$C,adProjScenario,PrdAdActif!$F:$F,adProjCdCanton,PrdAdActif!$D:$D,adProjIteration,PrdAdActif!$I:$I,"2.StratInv")</f>
        <v>0</v>
      </c>
      <c r="G38" s="15">
        <f>SUMIFS(PrdAdActif!$O:$O,PrdAdActif!$B:$B,adProjChocS2,PrdAdActif!$C:$C,adProjScenario,PrdAdActif!$F:$F,adProjCdCanton,PrdAdActif!$D:$D,adProjIteration,PrdAdActif!$I:$I,"2.StratInv")</f>
        <v>0</v>
      </c>
      <c r="H38" s="15">
        <f>SUMIFS(PrdAdActif!$O:$O,PrdAdActif!$B:$B,adProjChocS2,PrdAdActif!$C:$C,adProjScenario,PrdAdActif!$F:$F,adProjCdCanton,PrdAdActif!$D:$D,adProjIteration,PrdAdActif!$I:$I,"2.StratInv")</f>
        <v>0</v>
      </c>
      <c r="I38" s="15">
        <f>SUMIFS(PrdAdActif!$O:$O,PrdAdActif!$B:$B,adProjChocS2,PrdAdActif!$C:$C,adProjScenario,PrdAdActif!$F:$F,adProjCdCanton,PrdAdActif!$D:$D,adProjIteration,PrdAdActif!$I:$I,"2.StratInv")</f>
        <v>0</v>
      </c>
      <c r="J38" s="15">
        <f>SUMIFS(PrdAdActif!$O:$O,PrdAdActif!$B:$B,adProjChocS2,PrdAdActif!$C:$C,adProjScenario,PrdAdActif!$F:$F,adProjCdCanton,PrdAdActif!$D:$D,adProjIteration,PrdAdActif!$I:$I,"2.StratInv")</f>
        <v>0</v>
      </c>
      <c r="K38" s="15">
        <f>SUMIFS(PrdAdActif!$O:$O,PrdAdActif!$B:$B,adProjChocS2,PrdAdActif!$C:$C,adProjScenario,PrdAdActif!$F:$F,adProjCdCanton,PrdAdActif!$D:$D,adProjIteration,PrdAdActif!$I:$I,"2.StratInv")</f>
        <v>0</v>
      </c>
      <c r="L38" s="15">
        <f>SUMIFS(PrdAdActif!$O:$O,PrdAdActif!$B:$B,adProjChocS2,PrdAdActif!$C:$C,adProjScenario,PrdAdActif!$F:$F,adProjCdCanton,PrdAdActif!$D:$D,adProjIteration,PrdAdActif!$I:$I,"2.StratInv")</f>
        <v>0</v>
      </c>
      <c r="M38" s="15">
        <f>SUMIFS(PrdAdActif!$O:$O,PrdAdActif!$B:$B,adProjChocS2,PrdAdActif!$C:$C,adProjScenario,PrdAdActif!$F:$F,adProjCdCanton,PrdAdActif!$D:$D,adProjIteration,PrdAdActif!$I:$I,"2.StratInv")</f>
        <v>0</v>
      </c>
      <c r="N38" s="15">
        <f>SUMIFS(PrdAdActif!$O:$O,PrdAdActif!$B:$B,adProjChocS2,PrdAdActif!$C:$C,adProjScenario,PrdAdActif!$F:$F,adProjCdCanton,PrdAdActif!$D:$D,adProjIteration,PrdAdActif!$I:$I,"2.StratInv")</f>
        <v>0</v>
      </c>
      <c r="O38" s="15">
        <f>SUMIFS(PrdAdActif!$O:$O,PrdAdActif!$B:$B,adProjChocS2,PrdAdActif!$C:$C,adProjScenario,PrdAdActif!$F:$F,adProjCdCanton,PrdAdActif!$D:$D,adProjIteration,PrdAdActif!$I:$I,"2.StratInv")</f>
        <v>0</v>
      </c>
      <c r="P38" s="15">
        <f>SUMIFS(PrdAdActif!$O:$O,PrdAdActif!$B:$B,adProjChocS2,PrdAdActif!$C:$C,adProjScenario,PrdAdActif!$F:$F,adProjCdCanton,PrdAdActif!$D:$D,adProjIteration,PrdAdActif!$I:$I,"2.StratInv")</f>
        <v>0</v>
      </c>
      <c r="Q38" s="15">
        <f>SUMIFS(PrdAdActif!$O:$O,PrdAdActif!$B:$B,adProjChocS2,PrdAdActif!$C:$C,adProjScenario,PrdAdActif!$F:$F,adProjCdCanton,PrdAdActif!$D:$D,adProjIteration,PrdAdActif!$I:$I,"2.StratInv")</f>
        <v>0</v>
      </c>
      <c r="R38" s="15">
        <f>SUMIFS(PrdAdActif!$O:$O,PrdAdActif!$B:$B,adProjChocS2,PrdAdActif!$C:$C,adProjScenario,PrdAdActif!$F:$F,adProjCdCanton,PrdAdActif!$D:$D,adProjIteration,PrdAdActif!$I:$I,"2.StratInv")</f>
        <v>0</v>
      </c>
      <c r="S38" s="15">
        <f>SUMIFS(PrdAdActif!$O:$O,PrdAdActif!$B:$B,adProjChocS2,PrdAdActif!$C:$C,adProjScenario,PrdAdActif!$F:$F,adProjCdCanton,PrdAdActif!$D:$D,adProjIteration,PrdAdActif!$I:$I,"2.StratInv")</f>
        <v>0</v>
      </c>
      <c r="T38" s="15">
        <f>SUMIFS(PrdAdActif!$O:$O,PrdAdActif!$B:$B,adProjChocS2,PrdAdActif!$C:$C,adProjScenario,PrdAdActif!$F:$F,adProjCdCanton,PrdAdActif!$D:$D,adProjIteration,PrdAdActif!$I:$I,"2.StratInv")</f>
        <v>0</v>
      </c>
      <c r="U38" s="15">
        <f>SUMIFS(PrdAdActif!$O:$O,PrdAdActif!$B:$B,adProjChocS2,PrdAdActif!$C:$C,adProjScenario,PrdAdActif!$F:$F,adProjCdCanton,PrdAdActif!$D:$D,adProjIteration,PrdAdActif!$I:$I,"2.StratInv")</f>
        <v>0</v>
      </c>
      <c r="V38" s="15">
        <f>SUMIFS(PrdAdActif!$O:$O,PrdAdActif!$B:$B,adProjChocS2,PrdAdActif!$C:$C,adProjScenario,PrdAdActif!$F:$F,adProjCdCanton,PrdAdActif!$D:$D,adProjIteration,PrdAdActif!$I:$I,"2.StratInv")</f>
        <v>0</v>
      </c>
      <c r="W38" s="15">
        <f>SUMIFS(PrdAdActif!$O:$O,PrdAdActif!$B:$B,adProjChocS2,PrdAdActif!$C:$C,adProjScenario,PrdAdActif!$F:$F,adProjCdCanton,PrdAdActif!$D:$D,adProjIteration,PrdAdActif!$I:$I,"2.StratInv")</f>
        <v>0</v>
      </c>
      <c r="X38" s="15">
        <f>SUMIFS(PrdAdActif!$O:$O,PrdAdActif!$B:$B,adProjChocS2,PrdAdActif!$C:$C,adProjScenario,PrdAdActif!$F:$F,adProjCdCanton,PrdAdActif!$D:$D,adProjIteration,PrdAdActif!$I:$I,"2.StratInv")</f>
        <v>0</v>
      </c>
      <c r="Y38" s="15">
        <f>SUMIFS(PrdAdActif!$O:$O,PrdAdActif!$B:$B,adProjChocS2,PrdAdActif!$C:$C,adProjScenario,PrdAdActif!$F:$F,adProjCdCanton,PrdAdActif!$D:$D,adProjIteration,PrdAdActif!$I:$I,"2.StratInv")</f>
        <v>0</v>
      </c>
      <c r="Z38" s="15">
        <f>SUMIFS(PrdAdActif!$O:$O,PrdAdActif!$B:$B,adProjChocS2,PrdAdActif!$C:$C,adProjScenario,PrdAdActif!$F:$F,adProjCdCanton,PrdAdActif!$D:$D,adProjIteration,PrdAdActif!$I:$I,"2.StratInv")</f>
        <v>0</v>
      </c>
      <c r="AA38" s="15">
        <f>SUMIFS(PrdAdActif!$O:$O,PrdAdActif!$B:$B,adProjChocS2,PrdAdActif!$C:$C,adProjScenario,PrdAdActif!$F:$F,adProjCdCanton,PrdAdActif!$D:$D,adProjIteration,PrdAdActif!$I:$I,"2.StratInv")</f>
        <v>0</v>
      </c>
      <c r="AB38" s="15">
        <f>SUMIFS(PrdAdActif!$O:$O,PrdAdActif!$B:$B,adProjChocS2,PrdAdActif!$C:$C,adProjScenario,PrdAdActif!$F:$F,adProjCdCanton,PrdAdActif!$D:$D,adProjIteration,PrdAdActif!$I:$I,"2.StratInv")</f>
        <v>0</v>
      </c>
      <c r="AC38" s="15">
        <f>SUMIFS(PrdAdActif!$O:$O,PrdAdActif!$B:$B,adProjChocS2,PrdAdActif!$C:$C,adProjScenario,PrdAdActif!$F:$F,adProjCdCanton,PrdAdActif!$D:$D,adProjIteration,PrdAdActif!$I:$I,"2.StratInv")</f>
        <v>0</v>
      </c>
      <c r="AD38" s="15">
        <f>SUMIFS(PrdAdActif!$O:$O,PrdAdActif!$B:$B,adProjChocS2,PrdAdActif!$C:$C,adProjScenario,PrdAdActif!$F:$F,adProjCdCanton,PrdAdActif!$D:$D,adProjIteration,PrdAdActif!$I:$I,"2.StratInv")</f>
        <v>0</v>
      </c>
      <c r="AE38" s="15">
        <f>SUMIFS(PrdAdActif!$O:$O,PrdAdActif!$B:$B,adProjChocS2,PrdAdActif!$C:$C,adProjScenario,PrdAdActif!$F:$F,adProjCdCanton,PrdAdActif!$D:$D,adProjIteration,PrdAdActif!$I:$I,"2.StratInv")</f>
        <v>0</v>
      </c>
      <c r="AF38" s="15">
        <f>SUMIFS(PrdAdActif!$O:$O,PrdAdActif!$B:$B,adProjChocS2,PrdAdActif!$C:$C,adProjScenario,PrdAdActif!$F:$F,adProjCdCanton,PrdAdActif!$D:$D,adProjIteration,PrdAdActif!$I:$I,"2.StratInv")</f>
        <v>0</v>
      </c>
      <c r="AG38" s="15">
        <f>SUMIFS(PrdAdActif!$O:$O,PrdAdActif!$B:$B,adProjChocS2,PrdAdActif!$C:$C,adProjScenario,PrdAdActif!$F:$F,adProjCdCanton,PrdAdActif!$D:$D,adProjIteration,PrdAdActif!$I:$I,"2.StratInv")</f>
        <v>0</v>
      </c>
      <c r="AH38" s="15">
        <f>SUMIFS(PrdAdActif!$O:$O,PrdAdActif!$B:$B,adProjChocS2,PrdAdActif!$C:$C,adProjScenario,PrdAdActif!$F:$F,adProjCdCanton,PrdAdActif!$D:$D,adProjIteration,PrdAdActif!$I:$I,"2.StratInv")</f>
        <v>0</v>
      </c>
      <c r="AI38" s="15">
        <f>SUMIFS(PrdAdActif!$O:$O,PrdAdActif!$B:$B,adProjChocS2,PrdAdActif!$C:$C,adProjScenario,PrdAdActif!$F:$F,adProjCdCanton,PrdAdActif!$D:$D,adProjIteration,PrdAdActif!$I:$I,"2.StratInv")</f>
        <v>0</v>
      </c>
      <c r="AJ38" s="15">
        <f>SUMIFS(PrdAdActif!$O:$O,PrdAdActif!$B:$B,adProjChocS2,PrdAdActif!$C:$C,adProjScenario,PrdAdActif!$F:$F,adProjCdCanton,PrdAdActif!$D:$D,adProjIteration,PrdAdActif!$I:$I,"2.StratInv")</f>
        <v>0</v>
      </c>
      <c r="AK38" s="15">
        <f>SUMIFS(PrdAdActif!$O:$O,PrdAdActif!$B:$B,adProjChocS2,PrdAdActif!$C:$C,adProjScenario,PrdAdActif!$F:$F,adProjCdCanton,PrdAdActif!$D:$D,adProjIteration,PrdAdActif!$I:$I,"2.StratInv")</f>
        <v>0</v>
      </c>
      <c r="AL38" s="15">
        <f>SUMIFS(PrdAdActif!$O:$O,PrdAdActif!$B:$B,adProjChocS2,PrdAdActif!$C:$C,adProjScenario,PrdAdActif!$F:$F,adProjCdCanton,PrdAdActif!$D:$D,adProjIteration,PrdAdActif!$I:$I,"2.StratInv")</f>
        <v>0</v>
      </c>
      <c r="AM38" s="15">
        <f>SUMIFS(PrdAdActif!$O:$O,PrdAdActif!$B:$B,adProjChocS2,PrdAdActif!$C:$C,adProjScenario,PrdAdActif!$F:$F,adProjCdCanton,PrdAdActif!$D:$D,adProjIteration,PrdAdActif!$I:$I,"2.StratInv")</f>
        <v>0</v>
      </c>
      <c r="AN38" s="15">
        <f>SUMIFS(PrdAdActif!$O:$O,PrdAdActif!$B:$B,adProjChocS2,PrdAdActif!$C:$C,adProjScenario,PrdAdActif!$F:$F,adProjCdCanton,PrdAdActif!$D:$D,adProjIteration,PrdAdActif!$I:$I,"2.StratInv")</f>
        <v>0</v>
      </c>
      <c r="AO38" s="15">
        <f>SUMIFS(PrdAdActif!$O:$O,PrdAdActif!$B:$B,adProjChocS2,PrdAdActif!$C:$C,adProjScenario,PrdAdActif!$F:$F,adProjCdCanton,PrdAdActif!$D:$D,adProjIteration,PrdAdActif!$I:$I,"2.StratInv")</f>
        <v>0</v>
      </c>
      <c r="AP38" s="15">
        <f>SUMIFS(PrdAdActif!$O:$O,PrdAdActif!$B:$B,adProjChocS2,PrdAdActif!$C:$C,adProjScenario,PrdAdActif!$F:$F,adProjCdCanton,PrdAdActif!$D:$D,adProjIteration,PrdAdActif!$I:$I,"2.StratInv")</f>
        <v>0</v>
      </c>
      <c r="AQ38" s="15">
        <f>SUMIFS(PrdAdActif!$O:$O,PrdAdActif!$B:$B,adProjChocS2,PrdAdActif!$C:$C,adProjScenario,PrdAdActif!$F:$F,adProjCdCanton,PrdAdActif!$D:$D,adProjIteration,PrdAdActif!$I:$I,"2.StratInv")</f>
        <v>0</v>
      </c>
      <c r="AR38" s="15">
        <f>SUMIFS(PrdAdActif!$O:$O,PrdAdActif!$B:$B,adProjChocS2,PrdAdActif!$C:$C,adProjScenario,PrdAdActif!$F:$F,adProjCdCanton,PrdAdActif!$D:$D,adProjIteration,PrdAdActif!$I:$I,"2.StratInv")</f>
        <v>0</v>
      </c>
      <c r="AS38" s="15">
        <f>SUMIFS(PrdAdActif!$O:$O,PrdAdActif!$B:$B,adProjChocS2,PrdAdActif!$C:$C,adProjScenario,PrdAdActif!$F:$F,adProjCdCanton,PrdAdActif!$D:$D,adProjIteration,PrdAdActif!$I:$I,"2.StratInv")</f>
        <v>0</v>
      </c>
      <c r="AT38" s="15">
        <f>SUMIFS(PrdAdActif!$O:$O,PrdAdActif!$B:$B,adProjChocS2,PrdAdActif!$C:$C,adProjScenario,PrdAdActif!$F:$F,adProjCdCanton,PrdAdActif!$D:$D,adProjIteration,PrdAdActif!$I:$I,"2.StratInv")</f>
        <v>0</v>
      </c>
      <c r="AU38" s="15">
        <f>SUMIFS(PrdAdActif!$O:$O,PrdAdActif!$B:$B,adProjChocS2,PrdAdActif!$C:$C,adProjScenario,PrdAdActif!$F:$F,adProjCdCanton,PrdAdActif!$D:$D,adProjIteration,PrdAdActif!$I:$I,"2.StratInv")</f>
        <v>0</v>
      </c>
      <c r="AV38" s="15">
        <f>SUMIFS(PrdAdActif!$O:$O,PrdAdActif!$B:$B,adProjChocS2,PrdAdActif!$C:$C,adProjScenario,PrdAdActif!$F:$F,adProjCdCanton,PrdAdActif!$D:$D,adProjIteration,PrdAdActif!$I:$I,"2.StratInv")</f>
        <v>0</v>
      </c>
      <c r="AW38" s="15">
        <f>SUMIFS(PrdAdActif!$O:$O,PrdAdActif!$B:$B,adProjChocS2,PrdAdActif!$C:$C,adProjScenario,PrdAdActif!$F:$F,adProjCdCanton,PrdAdActif!$D:$D,adProjIteration,PrdAdActif!$I:$I,"2.StratInv")</f>
        <v>0</v>
      </c>
      <c r="AX38" s="15">
        <f>SUMIFS(PrdAdActif!$O:$O,PrdAdActif!$B:$B,adProjChocS2,PrdAdActif!$C:$C,adProjScenario,PrdAdActif!$F:$F,adProjCdCanton,PrdAdActif!$D:$D,adProjIteration,PrdAdActif!$I:$I,"2.StratInv")</f>
        <v>0</v>
      </c>
      <c r="AY38" s="15">
        <f>SUMIFS(PrdAdActif!$O:$O,PrdAdActif!$B:$B,adProjChocS2,PrdAdActif!$C:$C,adProjScenario,PrdAdActif!$F:$F,adProjCdCanton,PrdAdActif!$D:$D,adProjIteration,PrdAdActif!$I:$I,"2.StratInv")</f>
        <v>0</v>
      </c>
      <c r="AZ38" s="15">
        <f>SUMIFS(PrdAdActif!$O:$O,PrdAdActif!$B:$B,adProjChocS2,PrdAdActif!$C:$C,adProjScenario,PrdAdActif!$F:$F,adProjCdCanton,PrdAdActif!$D:$D,adProjIteration,PrdAdActif!$I:$I,"2.StratInv")</f>
        <v>0</v>
      </c>
      <c r="BA38" s="15">
        <f>SUMIFS(PrdAdActif!$O:$O,PrdAdActif!$B:$B,adProjChocS2,PrdAdActif!$C:$C,adProjScenario,PrdAdActif!$F:$F,adProjCdCanton,PrdAdActif!$D:$D,adProjIteration,PrdAdActif!$I:$I,"2.StratInv")</f>
        <v>0</v>
      </c>
      <c r="BB38" s="15">
        <f>SUMIFS(PrdAdActif!$O:$O,PrdAdActif!$B:$B,adProjChocS2,PrdAdActif!$C:$C,adProjScenario,PrdAdActif!$F:$F,adProjCdCanton,PrdAdActif!$D:$D,adProjIteration,PrdAdActif!$I:$I,"2.StratInv")</f>
        <v>0</v>
      </c>
    </row>
    <row r="39" spans="2:54" ht="16.5" x14ac:dyDescent="0.3">
      <c r="B39" s="17"/>
      <c r="C39" s="19" t="s">
        <v>33</v>
      </c>
      <c r="D39" s="15"/>
      <c r="E39" s="21">
        <f t="shared" ref="E39:AJ39" si="7">adVcPerfTotal+adPfisStratInvTotal-adVcStratInvTotal</f>
        <v>0</v>
      </c>
      <c r="F39" s="21">
        <f t="shared" si="7"/>
        <v>0</v>
      </c>
      <c r="G39" s="21">
        <f t="shared" si="7"/>
        <v>0</v>
      </c>
      <c r="H39" s="21">
        <f t="shared" si="7"/>
        <v>0</v>
      </c>
      <c r="I39" s="21">
        <f t="shared" si="7"/>
        <v>0</v>
      </c>
      <c r="J39" s="21">
        <f t="shared" si="7"/>
        <v>0</v>
      </c>
      <c r="K39" s="21">
        <f t="shared" si="7"/>
        <v>0</v>
      </c>
      <c r="L39" s="21">
        <f t="shared" si="7"/>
        <v>0</v>
      </c>
      <c r="M39" s="21">
        <f t="shared" si="7"/>
        <v>0</v>
      </c>
      <c r="N39" s="21">
        <f t="shared" si="7"/>
        <v>0</v>
      </c>
      <c r="O39" s="21">
        <f t="shared" si="7"/>
        <v>0</v>
      </c>
      <c r="P39" s="21">
        <f t="shared" si="7"/>
        <v>0</v>
      </c>
      <c r="Q39" s="21">
        <f t="shared" si="7"/>
        <v>0</v>
      </c>
      <c r="R39" s="21">
        <f t="shared" si="7"/>
        <v>0</v>
      </c>
      <c r="S39" s="21">
        <f t="shared" si="7"/>
        <v>0</v>
      </c>
      <c r="T39" s="21">
        <f t="shared" si="7"/>
        <v>0</v>
      </c>
      <c r="U39" s="21">
        <f t="shared" si="7"/>
        <v>0</v>
      </c>
      <c r="V39" s="21">
        <f t="shared" si="7"/>
        <v>0</v>
      </c>
      <c r="W39" s="21">
        <f t="shared" si="7"/>
        <v>0</v>
      </c>
      <c r="X39" s="21">
        <f t="shared" si="7"/>
        <v>0</v>
      </c>
      <c r="Y39" s="21">
        <f t="shared" si="7"/>
        <v>0</v>
      </c>
      <c r="Z39" s="21">
        <f t="shared" si="7"/>
        <v>0</v>
      </c>
      <c r="AA39" s="21">
        <f t="shared" si="7"/>
        <v>0</v>
      </c>
      <c r="AB39" s="21">
        <f t="shared" si="7"/>
        <v>0</v>
      </c>
      <c r="AC39" s="21">
        <f t="shared" si="7"/>
        <v>0</v>
      </c>
      <c r="AD39" s="21">
        <f t="shared" si="7"/>
        <v>0</v>
      </c>
      <c r="AE39" s="21">
        <f t="shared" si="7"/>
        <v>0</v>
      </c>
      <c r="AF39" s="21">
        <f t="shared" si="7"/>
        <v>0</v>
      </c>
      <c r="AG39" s="21">
        <f t="shared" si="7"/>
        <v>0</v>
      </c>
      <c r="AH39" s="21">
        <f t="shared" si="7"/>
        <v>0</v>
      </c>
      <c r="AI39" s="21">
        <f t="shared" si="7"/>
        <v>0</v>
      </c>
      <c r="AJ39" s="21">
        <f t="shared" si="7"/>
        <v>0</v>
      </c>
      <c r="AK39" s="21">
        <f t="shared" ref="AK39:BB39" si="8">adVcPerfTotal+adPfisStratInvTotal-adVcStratInvTotal</f>
        <v>0</v>
      </c>
      <c r="AL39" s="21">
        <f t="shared" si="8"/>
        <v>0</v>
      </c>
      <c r="AM39" s="21">
        <f t="shared" si="8"/>
        <v>0</v>
      </c>
      <c r="AN39" s="21">
        <f t="shared" si="8"/>
        <v>0</v>
      </c>
      <c r="AO39" s="21">
        <f t="shared" si="8"/>
        <v>0</v>
      </c>
      <c r="AP39" s="21">
        <f t="shared" si="8"/>
        <v>0</v>
      </c>
      <c r="AQ39" s="21">
        <f t="shared" si="8"/>
        <v>0</v>
      </c>
      <c r="AR39" s="21">
        <f t="shared" si="8"/>
        <v>0</v>
      </c>
      <c r="AS39" s="21">
        <f t="shared" si="8"/>
        <v>0</v>
      </c>
      <c r="AT39" s="21">
        <f t="shared" si="8"/>
        <v>0</v>
      </c>
      <c r="AU39" s="21">
        <f t="shared" si="8"/>
        <v>0</v>
      </c>
      <c r="AV39" s="21">
        <f t="shared" si="8"/>
        <v>0</v>
      </c>
      <c r="AW39" s="21">
        <f t="shared" si="8"/>
        <v>0</v>
      </c>
      <c r="AX39" s="21">
        <f t="shared" si="8"/>
        <v>0</v>
      </c>
      <c r="AY39" s="21">
        <f t="shared" si="8"/>
        <v>0</v>
      </c>
      <c r="AZ39" s="21">
        <f t="shared" si="8"/>
        <v>0</v>
      </c>
      <c r="BA39" s="21">
        <f t="shared" si="8"/>
        <v>0</v>
      </c>
      <c r="BB39" s="21">
        <f t="shared" si="8"/>
        <v>0</v>
      </c>
    </row>
    <row r="40" spans="2:54" ht="16.5" x14ac:dyDescent="0.3">
      <c r="B40" s="17"/>
      <c r="C40" s="19" t="s">
        <v>34</v>
      </c>
      <c r="D40" s="20" t="b">
        <f>AND(E40:BB40)</f>
        <v>1</v>
      </c>
      <c r="E40" s="21" t="b">
        <f t="shared" ref="E40:AJ40" si="9">ABS(adVcStratInvFuite)&lt;1</f>
        <v>1</v>
      </c>
      <c r="F40" s="21" t="b">
        <f t="shared" si="9"/>
        <v>1</v>
      </c>
      <c r="G40" s="21" t="b">
        <f t="shared" si="9"/>
        <v>1</v>
      </c>
      <c r="H40" s="21" t="b">
        <f t="shared" si="9"/>
        <v>1</v>
      </c>
      <c r="I40" s="21" t="b">
        <f t="shared" si="9"/>
        <v>1</v>
      </c>
      <c r="J40" s="21" t="b">
        <f t="shared" si="9"/>
        <v>1</v>
      </c>
      <c r="K40" s="21" t="b">
        <f t="shared" si="9"/>
        <v>1</v>
      </c>
      <c r="L40" s="21" t="b">
        <f t="shared" si="9"/>
        <v>1</v>
      </c>
      <c r="M40" s="21" t="b">
        <f t="shared" si="9"/>
        <v>1</v>
      </c>
      <c r="N40" s="21" t="b">
        <f t="shared" si="9"/>
        <v>1</v>
      </c>
      <c r="O40" s="21" t="b">
        <f t="shared" si="9"/>
        <v>1</v>
      </c>
      <c r="P40" s="21" t="b">
        <f t="shared" si="9"/>
        <v>1</v>
      </c>
      <c r="Q40" s="21" t="b">
        <f t="shared" si="9"/>
        <v>1</v>
      </c>
      <c r="R40" s="21" t="b">
        <f t="shared" si="9"/>
        <v>1</v>
      </c>
      <c r="S40" s="21" t="b">
        <f t="shared" si="9"/>
        <v>1</v>
      </c>
      <c r="T40" s="21" t="b">
        <f t="shared" si="9"/>
        <v>1</v>
      </c>
      <c r="U40" s="21" t="b">
        <f t="shared" si="9"/>
        <v>1</v>
      </c>
      <c r="V40" s="21" t="b">
        <f t="shared" si="9"/>
        <v>1</v>
      </c>
      <c r="W40" s="21" t="b">
        <f t="shared" si="9"/>
        <v>1</v>
      </c>
      <c r="X40" s="21" t="b">
        <f t="shared" si="9"/>
        <v>1</v>
      </c>
      <c r="Y40" s="21" t="b">
        <f t="shared" si="9"/>
        <v>1</v>
      </c>
      <c r="Z40" s="21" t="b">
        <f t="shared" si="9"/>
        <v>1</v>
      </c>
      <c r="AA40" s="21" t="b">
        <f t="shared" si="9"/>
        <v>1</v>
      </c>
      <c r="AB40" s="21" t="b">
        <f t="shared" si="9"/>
        <v>1</v>
      </c>
      <c r="AC40" s="21" t="b">
        <f t="shared" si="9"/>
        <v>1</v>
      </c>
      <c r="AD40" s="21" t="b">
        <f t="shared" si="9"/>
        <v>1</v>
      </c>
      <c r="AE40" s="21" t="b">
        <f t="shared" si="9"/>
        <v>1</v>
      </c>
      <c r="AF40" s="21" t="b">
        <f t="shared" si="9"/>
        <v>1</v>
      </c>
      <c r="AG40" s="21" t="b">
        <f t="shared" si="9"/>
        <v>1</v>
      </c>
      <c r="AH40" s="21" t="b">
        <f t="shared" si="9"/>
        <v>1</v>
      </c>
      <c r="AI40" s="21" t="b">
        <f t="shared" si="9"/>
        <v>1</v>
      </c>
      <c r="AJ40" s="21" t="b">
        <f t="shared" si="9"/>
        <v>1</v>
      </c>
      <c r="AK40" s="21" t="b">
        <f t="shared" ref="AK40:BB40" si="10">ABS(adVcStratInvFuite)&lt;1</f>
        <v>1</v>
      </c>
      <c r="AL40" s="21" t="b">
        <f t="shared" si="10"/>
        <v>1</v>
      </c>
      <c r="AM40" s="21" t="b">
        <f t="shared" si="10"/>
        <v>1</v>
      </c>
      <c r="AN40" s="21" t="b">
        <f t="shared" si="10"/>
        <v>1</v>
      </c>
      <c r="AO40" s="21" t="b">
        <f t="shared" si="10"/>
        <v>1</v>
      </c>
      <c r="AP40" s="21" t="b">
        <f t="shared" si="10"/>
        <v>1</v>
      </c>
      <c r="AQ40" s="21" t="b">
        <f t="shared" si="10"/>
        <v>1</v>
      </c>
      <c r="AR40" s="21" t="b">
        <f t="shared" si="10"/>
        <v>1</v>
      </c>
      <c r="AS40" s="21" t="b">
        <f t="shared" si="10"/>
        <v>1</v>
      </c>
      <c r="AT40" s="21" t="b">
        <f t="shared" si="10"/>
        <v>1</v>
      </c>
      <c r="AU40" s="21" t="b">
        <f t="shared" si="10"/>
        <v>1</v>
      </c>
      <c r="AV40" s="21" t="b">
        <f t="shared" si="10"/>
        <v>1</v>
      </c>
      <c r="AW40" s="21" t="b">
        <f t="shared" si="10"/>
        <v>1</v>
      </c>
      <c r="AX40" s="21" t="b">
        <f t="shared" si="10"/>
        <v>1</v>
      </c>
      <c r="AY40" s="21" t="b">
        <f t="shared" si="10"/>
        <v>1</v>
      </c>
      <c r="AZ40" s="21" t="b">
        <f t="shared" si="10"/>
        <v>1</v>
      </c>
      <c r="BA40" s="21" t="b">
        <f t="shared" si="10"/>
        <v>1</v>
      </c>
      <c r="BB40" s="21" t="b">
        <f t="shared" si="10"/>
        <v>1</v>
      </c>
    </row>
    <row r="41" spans="2:54" ht="16.5" x14ac:dyDescent="0.3">
      <c r="B41" s="17"/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</row>
    <row r="42" spans="2:54" ht="16.5" x14ac:dyDescent="0.3">
      <c r="B42" s="17"/>
      <c r="C42" s="18" t="s">
        <v>35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</row>
    <row r="43" spans="2:54" ht="16.5" x14ac:dyDescent="0.3">
      <c r="B43" s="17"/>
      <c r="C43" s="14" t="s">
        <v>36</v>
      </c>
      <c r="D43" s="15">
        <f>SUMIFS(PrdAdActif!$K:$K,PrdAdActif!$B:$B,adProjChocS2,PrdAdActif!$C:$C,adProjScenario,PrdAdActif!$F:$F,adProjCdCanton,PrdAdActif!$G:$G,"OBLIGATION",PrdAdActif!$D:$D,adProjIteration,PrdAdActif!$I:$I,"1.Perf")</f>
        <v>0</v>
      </c>
      <c r="E43" s="15">
        <f>SUMIFS(PrdAdActif!$K:$K,PrdAdActif!$B:$B,adProjChocS2,PrdAdActif!$C:$C,adProjScenario,PrdAdActif!$F:$F,adProjCdCanton,PrdAdActif!$G:$G,"OBLIGATION",PrdAdActif!$D:$D,adProjIteration,PrdAdActif!$I:$I,"1.Perf")</f>
        <v>0</v>
      </c>
      <c r="F43" s="15">
        <f>SUMIFS(PrdAdActif!$K:$K,PrdAdActif!$B:$B,adProjChocS2,PrdAdActif!$C:$C,adProjScenario,PrdAdActif!$F:$F,adProjCdCanton,PrdAdActif!$G:$G,"OBLIGATION",PrdAdActif!$D:$D,adProjIteration,PrdAdActif!$I:$I,"1.Perf")</f>
        <v>0</v>
      </c>
      <c r="G43" s="15">
        <f>SUMIFS(PrdAdActif!$K:$K,PrdAdActif!$B:$B,adProjChocS2,PrdAdActif!$C:$C,adProjScenario,PrdAdActif!$F:$F,adProjCdCanton,PrdAdActif!$G:$G,"OBLIGATION",PrdAdActif!$D:$D,adProjIteration,PrdAdActif!$I:$I,"1.Perf")</f>
        <v>0</v>
      </c>
      <c r="H43" s="15">
        <f>SUMIFS(PrdAdActif!$K:$K,PrdAdActif!$B:$B,adProjChocS2,PrdAdActif!$C:$C,adProjScenario,PrdAdActif!$F:$F,adProjCdCanton,PrdAdActif!$G:$G,"OBLIGATION",PrdAdActif!$D:$D,adProjIteration,PrdAdActif!$I:$I,"1.Perf")</f>
        <v>0</v>
      </c>
      <c r="I43" s="15">
        <f>SUMIFS(PrdAdActif!$K:$K,PrdAdActif!$B:$B,adProjChocS2,PrdAdActif!$C:$C,adProjScenario,PrdAdActif!$F:$F,adProjCdCanton,PrdAdActif!$G:$G,"OBLIGATION",PrdAdActif!$D:$D,adProjIteration,PrdAdActif!$I:$I,"1.Perf")</f>
        <v>0</v>
      </c>
      <c r="J43" s="15">
        <f>SUMIFS(PrdAdActif!$K:$K,PrdAdActif!$B:$B,adProjChocS2,PrdAdActif!$C:$C,adProjScenario,PrdAdActif!$F:$F,adProjCdCanton,PrdAdActif!$G:$G,"OBLIGATION",PrdAdActif!$D:$D,adProjIteration,PrdAdActif!$I:$I,"1.Perf")</f>
        <v>0</v>
      </c>
      <c r="K43" s="15">
        <f>SUMIFS(PrdAdActif!$K:$K,PrdAdActif!$B:$B,adProjChocS2,PrdAdActif!$C:$C,adProjScenario,PrdAdActif!$F:$F,adProjCdCanton,PrdAdActif!$G:$G,"OBLIGATION",PrdAdActif!$D:$D,adProjIteration,PrdAdActif!$I:$I,"1.Perf")</f>
        <v>0</v>
      </c>
      <c r="L43" s="15">
        <f>SUMIFS(PrdAdActif!$K:$K,PrdAdActif!$B:$B,adProjChocS2,PrdAdActif!$C:$C,adProjScenario,PrdAdActif!$F:$F,adProjCdCanton,PrdAdActif!$G:$G,"OBLIGATION",PrdAdActif!$D:$D,adProjIteration,PrdAdActif!$I:$I,"1.Perf")</f>
        <v>0</v>
      </c>
      <c r="M43" s="15">
        <f>SUMIFS(PrdAdActif!$K:$K,PrdAdActif!$B:$B,adProjChocS2,PrdAdActif!$C:$C,adProjScenario,PrdAdActif!$F:$F,adProjCdCanton,PrdAdActif!$G:$G,"OBLIGATION",PrdAdActif!$D:$D,adProjIteration,PrdAdActif!$I:$I,"1.Perf")</f>
        <v>0</v>
      </c>
      <c r="N43" s="15">
        <f>SUMIFS(PrdAdActif!$K:$K,PrdAdActif!$B:$B,adProjChocS2,PrdAdActif!$C:$C,adProjScenario,PrdAdActif!$F:$F,adProjCdCanton,PrdAdActif!$G:$G,"OBLIGATION",PrdAdActif!$D:$D,adProjIteration,PrdAdActif!$I:$I,"1.Perf")</f>
        <v>0</v>
      </c>
      <c r="O43" s="15">
        <f>SUMIFS(PrdAdActif!$K:$K,PrdAdActif!$B:$B,adProjChocS2,PrdAdActif!$C:$C,adProjScenario,PrdAdActif!$F:$F,adProjCdCanton,PrdAdActif!$G:$G,"OBLIGATION",PrdAdActif!$D:$D,adProjIteration,PrdAdActif!$I:$I,"1.Perf")</f>
        <v>0</v>
      </c>
      <c r="P43" s="15">
        <f>SUMIFS(PrdAdActif!$K:$K,PrdAdActif!$B:$B,adProjChocS2,PrdAdActif!$C:$C,adProjScenario,PrdAdActif!$F:$F,adProjCdCanton,PrdAdActif!$G:$G,"OBLIGATION",PrdAdActif!$D:$D,adProjIteration,PrdAdActif!$I:$I,"1.Perf")</f>
        <v>0</v>
      </c>
      <c r="Q43" s="15">
        <f>SUMIFS(PrdAdActif!$K:$K,PrdAdActif!$B:$B,adProjChocS2,PrdAdActif!$C:$C,adProjScenario,PrdAdActif!$F:$F,adProjCdCanton,PrdAdActif!$G:$G,"OBLIGATION",PrdAdActif!$D:$D,adProjIteration,PrdAdActif!$I:$I,"1.Perf")</f>
        <v>0</v>
      </c>
      <c r="R43" s="15">
        <f>SUMIFS(PrdAdActif!$K:$K,PrdAdActif!$B:$B,adProjChocS2,PrdAdActif!$C:$C,adProjScenario,PrdAdActif!$F:$F,adProjCdCanton,PrdAdActif!$G:$G,"OBLIGATION",PrdAdActif!$D:$D,adProjIteration,PrdAdActif!$I:$I,"1.Perf")</f>
        <v>0</v>
      </c>
      <c r="S43" s="15">
        <f>SUMIFS(PrdAdActif!$K:$K,PrdAdActif!$B:$B,adProjChocS2,PrdAdActif!$C:$C,adProjScenario,PrdAdActif!$F:$F,adProjCdCanton,PrdAdActif!$G:$G,"OBLIGATION",PrdAdActif!$D:$D,adProjIteration,PrdAdActif!$I:$I,"1.Perf")</f>
        <v>0</v>
      </c>
      <c r="T43" s="15">
        <f>SUMIFS(PrdAdActif!$K:$K,PrdAdActif!$B:$B,adProjChocS2,PrdAdActif!$C:$C,adProjScenario,PrdAdActif!$F:$F,adProjCdCanton,PrdAdActif!$G:$G,"OBLIGATION",PrdAdActif!$D:$D,adProjIteration,PrdAdActif!$I:$I,"1.Perf")</f>
        <v>0</v>
      </c>
      <c r="U43" s="15">
        <f>SUMIFS(PrdAdActif!$K:$K,PrdAdActif!$B:$B,adProjChocS2,PrdAdActif!$C:$C,adProjScenario,PrdAdActif!$F:$F,adProjCdCanton,PrdAdActif!$G:$G,"OBLIGATION",PrdAdActif!$D:$D,adProjIteration,PrdAdActif!$I:$I,"1.Perf")</f>
        <v>0</v>
      </c>
      <c r="V43" s="15">
        <f>SUMIFS(PrdAdActif!$K:$K,PrdAdActif!$B:$B,adProjChocS2,PrdAdActif!$C:$C,adProjScenario,PrdAdActif!$F:$F,adProjCdCanton,PrdAdActif!$G:$G,"OBLIGATION",PrdAdActif!$D:$D,adProjIteration,PrdAdActif!$I:$I,"1.Perf")</f>
        <v>0</v>
      </c>
      <c r="W43" s="15">
        <f>SUMIFS(PrdAdActif!$K:$K,PrdAdActif!$B:$B,adProjChocS2,PrdAdActif!$C:$C,adProjScenario,PrdAdActif!$F:$F,adProjCdCanton,PrdAdActif!$G:$G,"OBLIGATION",PrdAdActif!$D:$D,adProjIteration,PrdAdActif!$I:$I,"1.Perf")</f>
        <v>0</v>
      </c>
      <c r="X43" s="15">
        <f>SUMIFS(PrdAdActif!$K:$K,PrdAdActif!$B:$B,adProjChocS2,PrdAdActif!$C:$C,adProjScenario,PrdAdActif!$F:$F,adProjCdCanton,PrdAdActif!$G:$G,"OBLIGATION",PrdAdActif!$D:$D,adProjIteration,PrdAdActif!$I:$I,"1.Perf")</f>
        <v>0</v>
      </c>
      <c r="Y43" s="15">
        <f>SUMIFS(PrdAdActif!$K:$K,PrdAdActif!$B:$B,adProjChocS2,PrdAdActif!$C:$C,adProjScenario,PrdAdActif!$F:$F,adProjCdCanton,PrdAdActif!$G:$G,"OBLIGATION",PrdAdActif!$D:$D,adProjIteration,PrdAdActif!$I:$I,"1.Perf")</f>
        <v>0</v>
      </c>
      <c r="Z43" s="15">
        <f>SUMIFS(PrdAdActif!$K:$K,PrdAdActif!$B:$B,adProjChocS2,PrdAdActif!$C:$C,adProjScenario,PrdAdActif!$F:$F,adProjCdCanton,PrdAdActif!$G:$G,"OBLIGATION",PrdAdActif!$D:$D,adProjIteration,PrdAdActif!$I:$I,"1.Perf")</f>
        <v>0</v>
      </c>
      <c r="AA43" s="15">
        <f>SUMIFS(PrdAdActif!$K:$K,PrdAdActif!$B:$B,adProjChocS2,PrdAdActif!$C:$C,adProjScenario,PrdAdActif!$F:$F,adProjCdCanton,PrdAdActif!$G:$G,"OBLIGATION",PrdAdActif!$D:$D,adProjIteration,PrdAdActif!$I:$I,"1.Perf")</f>
        <v>0</v>
      </c>
      <c r="AB43" s="15">
        <f>SUMIFS(PrdAdActif!$K:$K,PrdAdActif!$B:$B,adProjChocS2,PrdAdActif!$C:$C,adProjScenario,PrdAdActif!$F:$F,adProjCdCanton,PrdAdActif!$G:$G,"OBLIGATION",PrdAdActif!$D:$D,adProjIteration,PrdAdActif!$I:$I,"1.Perf")</f>
        <v>0</v>
      </c>
      <c r="AC43" s="15">
        <f>SUMIFS(PrdAdActif!$K:$K,PrdAdActif!$B:$B,adProjChocS2,PrdAdActif!$C:$C,adProjScenario,PrdAdActif!$F:$F,adProjCdCanton,PrdAdActif!$G:$G,"OBLIGATION",PrdAdActif!$D:$D,adProjIteration,PrdAdActif!$I:$I,"1.Perf")</f>
        <v>0</v>
      </c>
      <c r="AD43" s="15">
        <f>SUMIFS(PrdAdActif!$K:$K,PrdAdActif!$B:$B,adProjChocS2,PrdAdActif!$C:$C,adProjScenario,PrdAdActif!$F:$F,adProjCdCanton,PrdAdActif!$G:$G,"OBLIGATION",PrdAdActif!$D:$D,adProjIteration,PrdAdActif!$I:$I,"1.Perf")</f>
        <v>0</v>
      </c>
      <c r="AE43" s="15">
        <f>SUMIFS(PrdAdActif!$K:$K,PrdAdActif!$B:$B,adProjChocS2,PrdAdActif!$C:$C,adProjScenario,PrdAdActif!$F:$F,adProjCdCanton,PrdAdActif!$G:$G,"OBLIGATION",PrdAdActif!$D:$D,adProjIteration,PrdAdActif!$I:$I,"1.Perf")</f>
        <v>0</v>
      </c>
      <c r="AF43" s="15">
        <f>SUMIFS(PrdAdActif!$K:$K,PrdAdActif!$B:$B,adProjChocS2,PrdAdActif!$C:$C,adProjScenario,PrdAdActif!$F:$F,adProjCdCanton,PrdAdActif!$G:$G,"OBLIGATION",PrdAdActif!$D:$D,adProjIteration,PrdAdActif!$I:$I,"1.Perf")</f>
        <v>0</v>
      </c>
      <c r="AG43" s="15">
        <f>SUMIFS(PrdAdActif!$K:$K,PrdAdActif!$B:$B,adProjChocS2,PrdAdActif!$C:$C,adProjScenario,PrdAdActif!$F:$F,adProjCdCanton,PrdAdActif!$G:$G,"OBLIGATION",PrdAdActif!$D:$D,adProjIteration,PrdAdActif!$I:$I,"1.Perf")</f>
        <v>0</v>
      </c>
      <c r="AH43" s="15">
        <f>SUMIFS(PrdAdActif!$K:$K,PrdAdActif!$B:$B,adProjChocS2,PrdAdActif!$C:$C,adProjScenario,PrdAdActif!$F:$F,adProjCdCanton,PrdAdActif!$G:$G,"OBLIGATION",PrdAdActif!$D:$D,adProjIteration,PrdAdActif!$I:$I,"1.Perf")</f>
        <v>0</v>
      </c>
      <c r="AI43" s="15">
        <f>SUMIFS(PrdAdActif!$K:$K,PrdAdActif!$B:$B,adProjChocS2,PrdAdActif!$C:$C,adProjScenario,PrdAdActif!$F:$F,adProjCdCanton,PrdAdActif!$G:$G,"OBLIGATION",PrdAdActif!$D:$D,adProjIteration,PrdAdActif!$I:$I,"1.Perf")</f>
        <v>0</v>
      </c>
      <c r="AJ43" s="15">
        <f>SUMIFS(PrdAdActif!$K:$K,PrdAdActif!$B:$B,adProjChocS2,PrdAdActif!$C:$C,adProjScenario,PrdAdActif!$F:$F,adProjCdCanton,PrdAdActif!$G:$G,"OBLIGATION",PrdAdActif!$D:$D,adProjIteration,PrdAdActif!$I:$I,"1.Perf")</f>
        <v>0</v>
      </c>
      <c r="AK43" s="15">
        <f>SUMIFS(PrdAdActif!$K:$K,PrdAdActif!$B:$B,adProjChocS2,PrdAdActif!$C:$C,adProjScenario,PrdAdActif!$F:$F,adProjCdCanton,PrdAdActif!$G:$G,"OBLIGATION",PrdAdActif!$D:$D,adProjIteration,PrdAdActif!$I:$I,"1.Perf")</f>
        <v>0</v>
      </c>
      <c r="AL43" s="15">
        <f>SUMIFS(PrdAdActif!$K:$K,PrdAdActif!$B:$B,adProjChocS2,PrdAdActif!$C:$C,adProjScenario,PrdAdActif!$F:$F,adProjCdCanton,PrdAdActif!$G:$G,"OBLIGATION",PrdAdActif!$D:$D,adProjIteration,PrdAdActif!$I:$I,"1.Perf")</f>
        <v>0</v>
      </c>
      <c r="AM43" s="15">
        <f>SUMIFS(PrdAdActif!$K:$K,PrdAdActif!$B:$B,adProjChocS2,PrdAdActif!$C:$C,adProjScenario,PrdAdActif!$F:$F,adProjCdCanton,PrdAdActif!$G:$G,"OBLIGATION",PrdAdActif!$D:$D,adProjIteration,PrdAdActif!$I:$I,"1.Perf")</f>
        <v>0</v>
      </c>
      <c r="AN43" s="15">
        <f>SUMIFS(PrdAdActif!$K:$K,PrdAdActif!$B:$B,adProjChocS2,PrdAdActif!$C:$C,adProjScenario,PrdAdActif!$F:$F,adProjCdCanton,PrdAdActif!$G:$G,"OBLIGATION",PrdAdActif!$D:$D,adProjIteration,PrdAdActif!$I:$I,"1.Perf")</f>
        <v>0</v>
      </c>
      <c r="AO43" s="15">
        <f>SUMIFS(PrdAdActif!$K:$K,PrdAdActif!$B:$B,adProjChocS2,PrdAdActif!$C:$C,adProjScenario,PrdAdActif!$F:$F,adProjCdCanton,PrdAdActif!$G:$G,"OBLIGATION",PrdAdActif!$D:$D,adProjIteration,PrdAdActif!$I:$I,"1.Perf")</f>
        <v>0</v>
      </c>
      <c r="AP43" s="15">
        <f>SUMIFS(PrdAdActif!$K:$K,PrdAdActif!$B:$B,adProjChocS2,PrdAdActif!$C:$C,adProjScenario,PrdAdActif!$F:$F,adProjCdCanton,PrdAdActif!$G:$G,"OBLIGATION",PrdAdActif!$D:$D,adProjIteration,PrdAdActif!$I:$I,"1.Perf")</f>
        <v>0</v>
      </c>
      <c r="AQ43" s="15">
        <f>SUMIFS(PrdAdActif!$K:$K,PrdAdActif!$B:$B,adProjChocS2,PrdAdActif!$C:$C,adProjScenario,PrdAdActif!$F:$F,adProjCdCanton,PrdAdActif!$G:$G,"OBLIGATION",PrdAdActif!$D:$D,adProjIteration,PrdAdActif!$I:$I,"1.Perf")</f>
        <v>0</v>
      </c>
      <c r="AR43" s="15">
        <f>SUMIFS(PrdAdActif!$K:$K,PrdAdActif!$B:$B,adProjChocS2,PrdAdActif!$C:$C,adProjScenario,PrdAdActif!$F:$F,adProjCdCanton,PrdAdActif!$G:$G,"OBLIGATION",PrdAdActif!$D:$D,adProjIteration,PrdAdActif!$I:$I,"1.Perf")</f>
        <v>0</v>
      </c>
      <c r="AS43" s="15">
        <f>SUMIFS(PrdAdActif!$K:$K,PrdAdActif!$B:$B,adProjChocS2,PrdAdActif!$C:$C,adProjScenario,PrdAdActif!$F:$F,adProjCdCanton,PrdAdActif!$G:$G,"OBLIGATION",PrdAdActif!$D:$D,adProjIteration,PrdAdActif!$I:$I,"1.Perf")</f>
        <v>0</v>
      </c>
      <c r="AT43" s="15">
        <f>SUMIFS(PrdAdActif!$K:$K,PrdAdActif!$B:$B,adProjChocS2,PrdAdActif!$C:$C,adProjScenario,PrdAdActif!$F:$F,adProjCdCanton,PrdAdActif!$G:$G,"OBLIGATION",PrdAdActif!$D:$D,adProjIteration,PrdAdActif!$I:$I,"1.Perf")</f>
        <v>0</v>
      </c>
      <c r="AU43" s="15">
        <f>SUMIFS(PrdAdActif!$K:$K,PrdAdActif!$B:$B,adProjChocS2,PrdAdActif!$C:$C,adProjScenario,PrdAdActif!$F:$F,adProjCdCanton,PrdAdActif!$G:$G,"OBLIGATION",PrdAdActif!$D:$D,adProjIteration,PrdAdActif!$I:$I,"1.Perf")</f>
        <v>0</v>
      </c>
      <c r="AV43" s="15">
        <f>SUMIFS(PrdAdActif!$K:$K,PrdAdActif!$B:$B,adProjChocS2,PrdAdActif!$C:$C,adProjScenario,PrdAdActif!$F:$F,adProjCdCanton,PrdAdActif!$G:$G,"OBLIGATION",PrdAdActif!$D:$D,adProjIteration,PrdAdActif!$I:$I,"1.Perf")</f>
        <v>0</v>
      </c>
      <c r="AW43" s="15">
        <f>SUMIFS(PrdAdActif!$K:$K,PrdAdActif!$B:$B,adProjChocS2,PrdAdActif!$C:$C,adProjScenario,PrdAdActif!$F:$F,adProjCdCanton,PrdAdActif!$G:$G,"OBLIGATION",PrdAdActif!$D:$D,adProjIteration,PrdAdActif!$I:$I,"1.Perf")</f>
        <v>0</v>
      </c>
      <c r="AX43" s="15">
        <f>SUMIFS(PrdAdActif!$K:$K,PrdAdActif!$B:$B,adProjChocS2,PrdAdActif!$C:$C,adProjScenario,PrdAdActif!$F:$F,adProjCdCanton,PrdAdActif!$G:$G,"OBLIGATION",PrdAdActif!$D:$D,adProjIteration,PrdAdActif!$I:$I,"1.Perf")</f>
        <v>0</v>
      </c>
      <c r="AY43" s="15">
        <f>SUMIFS(PrdAdActif!$K:$K,PrdAdActif!$B:$B,adProjChocS2,PrdAdActif!$C:$C,adProjScenario,PrdAdActif!$F:$F,adProjCdCanton,PrdAdActif!$G:$G,"OBLIGATION",PrdAdActif!$D:$D,adProjIteration,PrdAdActif!$I:$I,"1.Perf")</f>
        <v>0</v>
      </c>
      <c r="AZ43" s="15">
        <f>SUMIFS(PrdAdActif!$K:$K,PrdAdActif!$B:$B,adProjChocS2,PrdAdActif!$C:$C,adProjScenario,PrdAdActif!$F:$F,adProjCdCanton,PrdAdActif!$G:$G,"OBLIGATION",PrdAdActif!$D:$D,adProjIteration,PrdAdActif!$I:$I,"1.Perf")</f>
        <v>0</v>
      </c>
      <c r="BA43" s="15">
        <f>SUMIFS(PrdAdActif!$K:$K,PrdAdActif!$B:$B,adProjChocS2,PrdAdActif!$C:$C,adProjScenario,PrdAdActif!$F:$F,adProjCdCanton,PrdAdActif!$G:$G,"OBLIGATION",PrdAdActif!$D:$D,adProjIteration,PrdAdActif!$I:$I,"1.Perf")</f>
        <v>0</v>
      </c>
      <c r="BB43" s="15">
        <f>SUMIFS(PrdAdActif!$K:$K,PrdAdActif!$B:$B,adProjChocS2,PrdAdActif!$C:$C,adProjScenario,PrdAdActif!$F:$F,adProjCdCanton,PrdAdActif!$G:$G,"OBLIGATION",PrdAdActif!$D:$D,adProjIteration,PrdAdActif!$I:$I,"1.Perf")</f>
        <v>0</v>
      </c>
    </row>
    <row r="44" spans="2:54" ht="16.5" x14ac:dyDescent="0.3">
      <c r="B44" s="17"/>
      <c r="C44" s="14" t="s">
        <v>37</v>
      </c>
      <c r="D44" s="15">
        <f>SUMIFS(PrdAdActif!$K:$K,PrdAdActif!$B:$B,adProjChocS2,PrdAdActif!$C:$C,adProjScenario,PrdAdActif!$F:$F,adProjCdCanton,PrdAdActif!$G:$G,"IMMOBILIER",PrdAdActif!$D:$D,adProjIteration,PrdAdActif!$I:$I,"1.Perf")</f>
        <v>0</v>
      </c>
      <c r="E44" s="15">
        <f>SUMIFS(PrdAdActif!$K:$K,PrdAdActif!$B:$B,adProjChocS2,PrdAdActif!$C:$C,adProjScenario,PrdAdActif!$F:$F,adProjCdCanton,PrdAdActif!$G:$G,"IMMOBILIER",PrdAdActif!$D:$D,adProjIteration,PrdAdActif!$I:$I,"1.Perf")</f>
        <v>0</v>
      </c>
      <c r="F44" s="15">
        <f>SUMIFS(PrdAdActif!$K:$K,PrdAdActif!$B:$B,adProjChocS2,PrdAdActif!$C:$C,adProjScenario,PrdAdActif!$F:$F,adProjCdCanton,PrdAdActif!$G:$G,"IMMOBILIER",PrdAdActif!$D:$D,adProjIteration,PrdAdActif!$I:$I,"1.Perf")</f>
        <v>0</v>
      </c>
      <c r="G44" s="15">
        <f>SUMIFS(PrdAdActif!$K:$K,PrdAdActif!$B:$B,adProjChocS2,PrdAdActif!$C:$C,adProjScenario,PrdAdActif!$F:$F,adProjCdCanton,PrdAdActif!$G:$G,"IMMOBILIER",PrdAdActif!$D:$D,adProjIteration,PrdAdActif!$I:$I,"1.Perf")</f>
        <v>0</v>
      </c>
      <c r="H44" s="15">
        <f>SUMIFS(PrdAdActif!$K:$K,PrdAdActif!$B:$B,adProjChocS2,PrdAdActif!$C:$C,adProjScenario,PrdAdActif!$F:$F,adProjCdCanton,PrdAdActif!$G:$G,"IMMOBILIER",PrdAdActif!$D:$D,adProjIteration,PrdAdActif!$I:$I,"1.Perf")</f>
        <v>0</v>
      </c>
      <c r="I44" s="15">
        <f>SUMIFS(PrdAdActif!$K:$K,PrdAdActif!$B:$B,adProjChocS2,PrdAdActif!$C:$C,adProjScenario,PrdAdActif!$F:$F,adProjCdCanton,PrdAdActif!$G:$G,"IMMOBILIER",PrdAdActif!$D:$D,adProjIteration,PrdAdActif!$I:$I,"1.Perf")</f>
        <v>0</v>
      </c>
      <c r="J44" s="15">
        <f>SUMIFS(PrdAdActif!$K:$K,PrdAdActif!$B:$B,adProjChocS2,PrdAdActif!$C:$C,adProjScenario,PrdAdActif!$F:$F,adProjCdCanton,PrdAdActif!$G:$G,"IMMOBILIER",PrdAdActif!$D:$D,adProjIteration,PrdAdActif!$I:$I,"1.Perf")</f>
        <v>0</v>
      </c>
      <c r="K44" s="15">
        <f>SUMIFS(PrdAdActif!$K:$K,PrdAdActif!$B:$B,adProjChocS2,PrdAdActif!$C:$C,adProjScenario,PrdAdActif!$F:$F,adProjCdCanton,PrdAdActif!$G:$G,"IMMOBILIER",PrdAdActif!$D:$D,adProjIteration,PrdAdActif!$I:$I,"1.Perf")</f>
        <v>0</v>
      </c>
      <c r="L44" s="15">
        <f>SUMIFS(PrdAdActif!$K:$K,PrdAdActif!$B:$B,adProjChocS2,PrdAdActif!$C:$C,adProjScenario,PrdAdActif!$F:$F,adProjCdCanton,PrdAdActif!$G:$G,"IMMOBILIER",PrdAdActif!$D:$D,adProjIteration,PrdAdActif!$I:$I,"1.Perf")</f>
        <v>0</v>
      </c>
      <c r="M44" s="15">
        <f>SUMIFS(PrdAdActif!$K:$K,PrdAdActif!$B:$B,adProjChocS2,PrdAdActif!$C:$C,adProjScenario,PrdAdActif!$F:$F,adProjCdCanton,PrdAdActif!$G:$G,"IMMOBILIER",PrdAdActif!$D:$D,adProjIteration,PrdAdActif!$I:$I,"1.Perf")</f>
        <v>0</v>
      </c>
      <c r="N44" s="15">
        <f>SUMIFS(PrdAdActif!$K:$K,PrdAdActif!$B:$B,adProjChocS2,PrdAdActif!$C:$C,adProjScenario,PrdAdActif!$F:$F,adProjCdCanton,PrdAdActif!$G:$G,"IMMOBILIER",PrdAdActif!$D:$D,adProjIteration,PrdAdActif!$I:$I,"1.Perf")</f>
        <v>0</v>
      </c>
      <c r="O44" s="15">
        <f>SUMIFS(PrdAdActif!$K:$K,PrdAdActif!$B:$B,adProjChocS2,PrdAdActif!$C:$C,adProjScenario,PrdAdActif!$F:$F,adProjCdCanton,PrdAdActif!$G:$G,"IMMOBILIER",PrdAdActif!$D:$D,adProjIteration,PrdAdActif!$I:$I,"1.Perf")</f>
        <v>0</v>
      </c>
      <c r="P44" s="15">
        <f>SUMIFS(PrdAdActif!$K:$K,PrdAdActif!$B:$B,adProjChocS2,PrdAdActif!$C:$C,adProjScenario,PrdAdActif!$F:$F,adProjCdCanton,PrdAdActif!$G:$G,"IMMOBILIER",PrdAdActif!$D:$D,adProjIteration,PrdAdActif!$I:$I,"1.Perf")</f>
        <v>0</v>
      </c>
      <c r="Q44" s="15">
        <f>SUMIFS(PrdAdActif!$K:$K,PrdAdActif!$B:$B,adProjChocS2,PrdAdActif!$C:$C,adProjScenario,PrdAdActif!$F:$F,adProjCdCanton,PrdAdActif!$G:$G,"IMMOBILIER",PrdAdActif!$D:$D,adProjIteration,PrdAdActif!$I:$I,"1.Perf")</f>
        <v>0</v>
      </c>
      <c r="R44" s="15">
        <f>SUMIFS(PrdAdActif!$K:$K,PrdAdActif!$B:$B,adProjChocS2,PrdAdActif!$C:$C,adProjScenario,PrdAdActif!$F:$F,adProjCdCanton,PrdAdActif!$G:$G,"IMMOBILIER",PrdAdActif!$D:$D,adProjIteration,PrdAdActif!$I:$I,"1.Perf")</f>
        <v>0</v>
      </c>
      <c r="S44" s="15">
        <f>SUMIFS(PrdAdActif!$K:$K,PrdAdActif!$B:$B,adProjChocS2,PrdAdActif!$C:$C,adProjScenario,PrdAdActif!$F:$F,adProjCdCanton,PrdAdActif!$G:$G,"IMMOBILIER",PrdAdActif!$D:$D,adProjIteration,PrdAdActif!$I:$I,"1.Perf")</f>
        <v>0</v>
      </c>
      <c r="T44" s="15">
        <f>SUMIFS(PrdAdActif!$K:$K,PrdAdActif!$B:$B,adProjChocS2,PrdAdActif!$C:$C,adProjScenario,PrdAdActif!$F:$F,adProjCdCanton,PrdAdActif!$G:$G,"IMMOBILIER",PrdAdActif!$D:$D,adProjIteration,PrdAdActif!$I:$I,"1.Perf")</f>
        <v>0</v>
      </c>
      <c r="U44" s="15">
        <f>SUMIFS(PrdAdActif!$K:$K,PrdAdActif!$B:$B,adProjChocS2,PrdAdActif!$C:$C,adProjScenario,PrdAdActif!$F:$F,adProjCdCanton,PrdAdActif!$G:$G,"IMMOBILIER",PrdAdActif!$D:$D,adProjIteration,PrdAdActif!$I:$I,"1.Perf")</f>
        <v>0</v>
      </c>
      <c r="V44" s="15">
        <f>SUMIFS(PrdAdActif!$K:$K,PrdAdActif!$B:$B,adProjChocS2,PrdAdActif!$C:$C,adProjScenario,PrdAdActif!$F:$F,adProjCdCanton,PrdAdActif!$G:$G,"IMMOBILIER",PrdAdActif!$D:$D,adProjIteration,PrdAdActif!$I:$I,"1.Perf")</f>
        <v>0</v>
      </c>
      <c r="W44" s="15">
        <f>SUMIFS(PrdAdActif!$K:$K,PrdAdActif!$B:$B,adProjChocS2,PrdAdActif!$C:$C,adProjScenario,PrdAdActif!$F:$F,adProjCdCanton,PrdAdActif!$G:$G,"IMMOBILIER",PrdAdActif!$D:$D,adProjIteration,PrdAdActif!$I:$I,"1.Perf")</f>
        <v>0</v>
      </c>
      <c r="X44" s="15">
        <f>SUMIFS(PrdAdActif!$K:$K,PrdAdActif!$B:$B,adProjChocS2,PrdAdActif!$C:$C,adProjScenario,PrdAdActif!$F:$F,adProjCdCanton,PrdAdActif!$G:$G,"IMMOBILIER",PrdAdActif!$D:$D,adProjIteration,PrdAdActif!$I:$I,"1.Perf")</f>
        <v>0</v>
      </c>
      <c r="Y44" s="15">
        <f>SUMIFS(PrdAdActif!$K:$K,PrdAdActif!$B:$B,adProjChocS2,PrdAdActif!$C:$C,adProjScenario,PrdAdActif!$F:$F,adProjCdCanton,PrdAdActif!$G:$G,"IMMOBILIER",PrdAdActif!$D:$D,adProjIteration,PrdAdActif!$I:$I,"1.Perf")</f>
        <v>0</v>
      </c>
      <c r="Z44" s="15">
        <f>SUMIFS(PrdAdActif!$K:$K,PrdAdActif!$B:$B,adProjChocS2,PrdAdActif!$C:$C,adProjScenario,PrdAdActif!$F:$F,adProjCdCanton,PrdAdActif!$G:$G,"IMMOBILIER",PrdAdActif!$D:$D,adProjIteration,PrdAdActif!$I:$I,"1.Perf")</f>
        <v>0</v>
      </c>
      <c r="AA44" s="15">
        <f>SUMIFS(PrdAdActif!$K:$K,PrdAdActif!$B:$B,adProjChocS2,PrdAdActif!$C:$C,adProjScenario,PrdAdActif!$F:$F,adProjCdCanton,PrdAdActif!$G:$G,"IMMOBILIER",PrdAdActif!$D:$D,adProjIteration,PrdAdActif!$I:$I,"1.Perf")</f>
        <v>0</v>
      </c>
      <c r="AB44" s="15">
        <f>SUMIFS(PrdAdActif!$K:$K,PrdAdActif!$B:$B,adProjChocS2,PrdAdActif!$C:$C,adProjScenario,PrdAdActif!$F:$F,adProjCdCanton,PrdAdActif!$G:$G,"IMMOBILIER",PrdAdActif!$D:$D,adProjIteration,PrdAdActif!$I:$I,"1.Perf")</f>
        <v>0</v>
      </c>
      <c r="AC44" s="15">
        <f>SUMIFS(PrdAdActif!$K:$K,PrdAdActif!$B:$B,adProjChocS2,PrdAdActif!$C:$C,adProjScenario,PrdAdActif!$F:$F,adProjCdCanton,PrdAdActif!$G:$G,"IMMOBILIER",PrdAdActif!$D:$D,adProjIteration,PrdAdActif!$I:$I,"1.Perf")</f>
        <v>0</v>
      </c>
      <c r="AD44" s="15">
        <f>SUMIFS(PrdAdActif!$K:$K,PrdAdActif!$B:$B,adProjChocS2,PrdAdActif!$C:$C,adProjScenario,PrdAdActif!$F:$F,adProjCdCanton,PrdAdActif!$G:$G,"IMMOBILIER",PrdAdActif!$D:$D,adProjIteration,PrdAdActif!$I:$I,"1.Perf")</f>
        <v>0</v>
      </c>
      <c r="AE44" s="15">
        <f>SUMIFS(PrdAdActif!$K:$K,PrdAdActif!$B:$B,adProjChocS2,PrdAdActif!$C:$C,adProjScenario,PrdAdActif!$F:$F,adProjCdCanton,PrdAdActif!$G:$G,"IMMOBILIER",PrdAdActif!$D:$D,adProjIteration,PrdAdActif!$I:$I,"1.Perf")</f>
        <v>0</v>
      </c>
      <c r="AF44" s="15">
        <f>SUMIFS(PrdAdActif!$K:$K,PrdAdActif!$B:$B,adProjChocS2,PrdAdActif!$C:$C,adProjScenario,PrdAdActif!$F:$F,adProjCdCanton,PrdAdActif!$G:$G,"IMMOBILIER",PrdAdActif!$D:$D,adProjIteration,PrdAdActif!$I:$I,"1.Perf")</f>
        <v>0</v>
      </c>
      <c r="AG44" s="15">
        <f>SUMIFS(PrdAdActif!$K:$K,PrdAdActif!$B:$B,adProjChocS2,PrdAdActif!$C:$C,adProjScenario,PrdAdActif!$F:$F,adProjCdCanton,PrdAdActif!$G:$G,"IMMOBILIER",PrdAdActif!$D:$D,adProjIteration,PrdAdActif!$I:$I,"1.Perf")</f>
        <v>0</v>
      </c>
      <c r="AH44" s="15">
        <f>SUMIFS(PrdAdActif!$K:$K,PrdAdActif!$B:$B,adProjChocS2,PrdAdActif!$C:$C,adProjScenario,PrdAdActif!$F:$F,adProjCdCanton,PrdAdActif!$G:$G,"IMMOBILIER",PrdAdActif!$D:$D,adProjIteration,PrdAdActif!$I:$I,"1.Perf")</f>
        <v>0</v>
      </c>
      <c r="AI44" s="15">
        <f>SUMIFS(PrdAdActif!$K:$K,PrdAdActif!$B:$B,adProjChocS2,PrdAdActif!$C:$C,adProjScenario,PrdAdActif!$F:$F,adProjCdCanton,PrdAdActif!$G:$G,"IMMOBILIER",PrdAdActif!$D:$D,adProjIteration,PrdAdActif!$I:$I,"1.Perf")</f>
        <v>0</v>
      </c>
      <c r="AJ44" s="15">
        <f>SUMIFS(PrdAdActif!$K:$K,PrdAdActif!$B:$B,adProjChocS2,PrdAdActif!$C:$C,adProjScenario,PrdAdActif!$F:$F,adProjCdCanton,PrdAdActif!$G:$G,"IMMOBILIER",PrdAdActif!$D:$D,adProjIteration,PrdAdActif!$I:$I,"1.Perf")</f>
        <v>0</v>
      </c>
      <c r="AK44" s="15">
        <f>SUMIFS(PrdAdActif!$K:$K,PrdAdActif!$B:$B,adProjChocS2,PrdAdActif!$C:$C,adProjScenario,PrdAdActif!$F:$F,adProjCdCanton,PrdAdActif!$G:$G,"IMMOBILIER",PrdAdActif!$D:$D,adProjIteration,PrdAdActif!$I:$I,"1.Perf")</f>
        <v>0</v>
      </c>
      <c r="AL44" s="15">
        <f>SUMIFS(PrdAdActif!$K:$K,PrdAdActif!$B:$B,adProjChocS2,PrdAdActif!$C:$C,adProjScenario,PrdAdActif!$F:$F,adProjCdCanton,PrdAdActif!$G:$G,"IMMOBILIER",PrdAdActif!$D:$D,adProjIteration,PrdAdActif!$I:$I,"1.Perf")</f>
        <v>0</v>
      </c>
      <c r="AM44" s="15">
        <f>SUMIFS(PrdAdActif!$K:$K,PrdAdActif!$B:$B,adProjChocS2,PrdAdActif!$C:$C,adProjScenario,PrdAdActif!$F:$F,adProjCdCanton,PrdAdActif!$G:$G,"IMMOBILIER",PrdAdActif!$D:$D,adProjIteration,PrdAdActif!$I:$I,"1.Perf")</f>
        <v>0</v>
      </c>
      <c r="AN44" s="15">
        <f>SUMIFS(PrdAdActif!$K:$K,PrdAdActif!$B:$B,adProjChocS2,PrdAdActif!$C:$C,adProjScenario,PrdAdActif!$F:$F,adProjCdCanton,PrdAdActif!$G:$G,"IMMOBILIER",PrdAdActif!$D:$D,adProjIteration,PrdAdActif!$I:$I,"1.Perf")</f>
        <v>0</v>
      </c>
      <c r="AO44" s="15">
        <f>SUMIFS(PrdAdActif!$K:$K,PrdAdActif!$B:$B,adProjChocS2,PrdAdActif!$C:$C,adProjScenario,PrdAdActif!$F:$F,adProjCdCanton,PrdAdActif!$G:$G,"IMMOBILIER",PrdAdActif!$D:$D,adProjIteration,PrdAdActif!$I:$I,"1.Perf")</f>
        <v>0</v>
      </c>
      <c r="AP44" s="15">
        <f>SUMIFS(PrdAdActif!$K:$K,PrdAdActif!$B:$B,adProjChocS2,PrdAdActif!$C:$C,adProjScenario,PrdAdActif!$F:$F,adProjCdCanton,PrdAdActif!$G:$G,"IMMOBILIER",PrdAdActif!$D:$D,adProjIteration,PrdAdActif!$I:$I,"1.Perf")</f>
        <v>0</v>
      </c>
      <c r="AQ44" s="15">
        <f>SUMIFS(PrdAdActif!$K:$K,PrdAdActif!$B:$B,adProjChocS2,PrdAdActif!$C:$C,adProjScenario,PrdAdActif!$F:$F,adProjCdCanton,PrdAdActif!$G:$G,"IMMOBILIER",PrdAdActif!$D:$D,adProjIteration,PrdAdActif!$I:$I,"1.Perf")</f>
        <v>0</v>
      </c>
      <c r="AR44" s="15">
        <f>SUMIFS(PrdAdActif!$K:$K,PrdAdActif!$B:$B,adProjChocS2,PrdAdActif!$C:$C,adProjScenario,PrdAdActif!$F:$F,adProjCdCanton,PrdAdActif!$G:$G,"IMMOBILIER",PrdAdActif!$D:$D,adProjIteration,PrdAdActif!$I:$I,"1.Perf")</f>
        <v>0</v>
      </c>
      <c r="AS44" s="15">
        <f>SUMIFS(PrdAdActif!$K:$K,PrdAdActif!$B:$B,adProjChocS2,PrdAdActif!$C:$C,adProjScenario,PrdAdActif!$F:$F,adProjCdCanton,PrdAdActif!$G:$G,"IMMOBILIER",PrdAdActif!$D:$D,adProjIteration,PrdAdActif!$I:$I,"1.Perf")</f>
        <v>0</v>
      </c>
      <c r="AT44" s="15">
        <f>SUMIFS(PrdAdActif!$K:$K,PrdAdActif!$B:$B,adProjChocS2,PrdAdActif!$C:$C,adProjScenario,PrdAdActif!$F:$F,adProjCdCanton,PrdAdActif!$G:$G,"IMMOBILIER",PrdAdActif!$D:$D,adProjIteration,PrdAdActif!$I:$I,"1.Perf")</f>
        <v>0</v>
      </c>
      <c r="AU44" s="15">
        <f>SUMIFS(PrdAdActif!$K:$K,PrdAdActif!$B:$B,adProjChocS2,PrdAdActif!$C:$C,adProjScenario,PrdAdActif!$F:$F,adProjCdCanton,PrdAdActif!$G:$G,"IMMOBILIER",PrdAdActif!$D:$D,adProjIteration,PrdAdActif!$I:$I,"1.Perf")</f>
        <v>0</v>
      </c>
      <c r="AV44" s="15">
        <f>SUMIFS(PrdAdActif!$K:$K,PrdAdActif!$B:$B,adProjChocS2,PrdAdActif!$C:$C,adProjScenario,PrdAdActif!$F:$F,adProjCdCanton,PrdAdActif!$G:$G,"IMMOBILIER",PrdAdActif!$D:$D,adProjIteration,PrdAdActif!$I:$I,"1.Perf")</f>
        <v>0</v>
      </c>
      <c r="AW44" s="15">
        <f>SUMIFS(PrdAdActif!$K:$K,PrdAdActif!$B:$B,adProjChocS2,PrdAdActif!$C:$C,adProjScenario,PrdAdActif!$F:$F,adProjCdCanton,PrdAdActif!$G:$G,"IMMOBILIER",PrdAdActif!$D:$D,adProjIteration,PrdAdActif!$I:$I,"1.Perf")</f>
        <v>0</v>
      </c>
      <c r="AX44" s="15">
        <f>SUMIFS(PrdAdActif!$K:$K,PrdAdActif!$B:$B,adProjChocS2,PrdAdActif!$C:$C,adProjScenario,PrdAdActif!$F:$F,adProjCdCanton,PrdAdActif!$G:$G,"IMMOBILIER",PrdAdActif!$D:$D,adProjIteration,PrdAdActif!$I:$I,"1.Perf")</f>
        <v>0</v>
      </c>
      <c r="AY44" s="15">
        <f>SUMIFS(PrdAdActif!$K:$K,PrdAdActif!$B:$B,adProjChocS2,PrdAdActif!$C:$C,adProjScenario,PrdAdActif!$F:$F,adProjCdCanton,PrdAdActif!$G:$G,"IMMOBILIER",PrdAdActif!$D:$D,adProjIteration,PrdAdActif!$I:$I,"1.Perf")</f>
        <v>0</v>
      </c>
      <c r="AZ44" s="15">
        <f>SUMIFS(PrdAdActif!$K:$K,PrdAdActif!$B:$B,adProjChocS2,PrdAdActif!$C:$C,adProjScenario,PrdAdActif!$F:$F,adProjCdCanton,PrdAdActif!$G:$G,"IMMOBILIER",PrdAdActif!$D:$D,adProjIteration,PrdAdActif!$I:$I,"1.Perf")</f>
        <v>0</v>
      </c>
      <c r="BA44" s="15">
        <f>SUMIFS(PrdAdActif!$K:$K,PrdAdActif!$B:$B,adProjChocS2,PrdAdActif!$C:$C,adProjScenario,PrdAdActif!$F:$F,adProjCdCanton,PrdAdActif!$G:$G,"IMMOBILIER",PrdAdActif!$D:$D,adProjIteration,PrdAdActif!$I:$I,"1.Perf")</f>
        <v>0</v>
      </c>
      <c r="BB44" s="15">
        <f>SUMIFS(PrdAdActif!$K:$K,PrdAdActif!$B:$B,adProjChocS2,PrdAdActif!$C:$C,adProjScenario,PrdAdActif!$F:$F,adProjCdCanton,PrdAdActif!$G:$G,"IMMOBILIER",PrdAdActif!$D:$D,adProjIteration,PrdAdActif!$I:$I,"1.Perf")</f>
        <v>0</v>
      </c>
    </row>
    <row r="45" spans="2:54" ht="16.5" x14ac:dyDescent="0.3">
      <c r="B45" s="17"/>
      <c r="C45" s="14" t="s">
        <v>38</v>
      </c>
      <c r="D45" s="15">
        <f>SUMIFS(PrdAdActif!$K:$K,PrdAdActif!$B:$B,adProjChocS2,PrdAdActif!$C:$C,adProjScenario,PrdAdActif!$F:$F,adProjCdCanton,PrdAdActif!$G:$G,"ACTION",PrdAdActif!$D:$D,adProjIteration,PrdAdActif!$I:$I,"1.Perf")</f>
        <v>0</v>
      </c>
      <c r="E45" s="15">
        <f>SUMIFS(PrdAdActif!$K:$K,PrdAdActif!$B:$B,adProjChocS2,PrdAdActif!$C:$C,adProjScenario,PrdAdActif!$F:$F,adProjCdCanton,PrdAdActif!$G:$G,"ACTION",PrdAdActif!$D:$D,adProjIteration,PrdAdActif!$I:$I,"1.Perf")</f>
        <v>0</v>
      </c>
      <c r="F45" s="15">
        <f>SUMIFS(PrdAdActif!$K:$K,PrdAdActif!$B:$B,adProjChocS2,PrdAdActif!$C:$C,adProjScenario,PrdAdActif!$F:$F,adProjCdCanton,PrdAdActif!$G:$G,"ACTION",PrdAdActif!$D:$D,adProjIteration,PrdAdActif!$I:$I,"1.Perf")</f>
        <v>0</v>
      </c>
      <c r="G45" s="15">
        <f>SUMIFS(PrdAdActif!$K:$K,PrdAdActif!$B:$B,adProjChocS2,PrdAdActif!$C:$C,adProjScenario,PrdAdActif!$F:$F,adProjCdCanton,PrdAdActif!$G:$G,"ACTION",PrdAdActif!$D:$D,adProjIteration,PrdAdActif!$I:$I,"1.Perf")</f>
        <v>0</v>
      </c>
      <c r="H45" s="15">
        <f>SUMIFS(PrdAdActif!$K:$K,PrdAdActif!$B:$B,adProjChocS2,PrdAdActif!$C:$C,adProjScenario,PrdAdActif!$F:$F,adProjCdCanton,PrdAdActif!$G:$G,"ACTION",PrdAdActif!$D:$D,adProjIteration,PrdAdActif!$I:$I,"1.Perf")</f>
        <v>0</v>
      </c>
      <c r="I45" s="15">
        <f>SUMIFS(PrdAdActif!$K:$K,PrdAdActif!$B:$B,adProjChocS2,PrdAdActif!$C:$C,adProjScenario,PrdAdActif!$F:$F,adProjCdCanton,PrdAdActif!$G:$G,"ACTION",PrdAdActif!$D:$D,adProjIteration,PrdAdActif!$I:$I,"1.Perf")</f>
        <v>0</v>
      </c>
      <c r="J45" s="15">
        <f>SUMIFS(PrdAdActif!$K:$K,PrdAdActif!$B:$B,adProjChocS2,PrdAdActif!$C:$C,adProjScenario,PrdAdActif!$F:$F,adProjCdCanton,PrdAdActif!$G:$G,"ACTION",PrdAdActif!$D:$D,adProjIteration,PrdAdActif!$I:$I,"1.Perf")</f>
        <v>0</v>
      </c>
      <c r="K45" s="15">
        <f>SUMIFS(PrdAdActif!$K:$K,PrdAdActif!$B:$B,adProjChocS2,PrdAdActif!$C:$C,adProjScenario,PrdAdActif!$F:$F,adProjCdCanton,PrdAdActif!$G:$G,"ACTION",PrdAdActif!$D:$D,adProjIteration,PrdAdActif!$I:$I,"1.Perf")</f>
        <v>0</v>
      </c>
      <c r="L45" s="15">
        <f>SUMIFS(PrdAdActif!$K:$K,PrdAdActif!$B:$B,adProjChocS2,PrdAdActif!$C:$C,adProjScenario,PrdAdActif!$F:$F,adProjCdCanton,PrdAdActif!$G:$G,"ACTION",PrdAdActif!$D:$D,adProjIteration,PrdAdActif!$I:$I,"1.Perf")</f>
        <v>0</v>
      </c>
      <c r="M45" s="15">
        <f>SUMIFS(PrdAdActif!$K:$K,PrdAdActif!$B:$B,adProjChocS2,PrdAdActif!$C:$C,adProjScenario,PrdAdActif!$F:$F,adProjCdCanton,PrdAdActif!$G:$G,"ACTION",PrdAdActif!$D:$D,adProjIteration,PrdAdActif!$I:$I,"1.Perf")</f>
        <v>0</v>
      </c>
      <c r="N45" s="15">
        <f>SUMIFS(PrdAdActif!$K:$K,PrdAdActif!$B:$B,adProjChocS2,PrdAdActif!$C:$C,adProjScenario,PrdAdActif!$F:$F,adProjCdCanton,PrdAdActif!$G:$G,"ACTION",PrdAdActif!$D:$D,adProjIteration,PrdAdActif!$I:$I,"1.Perf")</f>
        <v>0</v>
      </c>
      <c r="O45" s="15">
        <f>SUMIFS(PrdAdActif!$K:$K,PrdAdActif!$B:$B,adProjChocS2,PrdAdActif!$C:$C,adProjScenario,PrdAdActif!$F:$F,adProjCdCanton,PrdAdActif!$G:$G,"ACTION",PrdAdActif!$D:$D,adProjIteration,PrdAdActif!$I:$I,"1.Perf")</f>
        <v>0</v>
      </c>
      <c r="P45" s="15">
        <f>SUMIFS(PrdAdActif!$K:$K,PrdAdActif!$B:$B,adProjChocS2,PrdAdActif!$C:$C,adProjScenario,PrdAdActif!$F:$F,adProjCdCanton,PrdAdActif!$G:$G,"ACTION",PrdAdActif!$D:$D,adProjIteration,PrdAdActif!$I:$I,"1.Perf")</f>
        <v>0</v>
      </c>
      <c r="Q45" s="15">
        <f>SUMIFS(PrdAdActif!$K:$K,PrdAdActif!$B:$B,adProjChocS2,PrdAdActif!$C:$C,adProjScenario,PrdAdActif!$F:$F,adProjCdCanton,PrdAdActif!$G:$G,"ACTION",PrdAdActif!$D:$D,adProjIteration,PrdAdActif!$I:$I,"1.Perf")</f>
        <v>0</v>
      </c>
      <c r="R45" s="15">
        <f>SUMIFS(PrdAdActif!$K:$K,PrdAdActif!$B:$B,adProjChocS2,PrdAdActif!$C:$C,adProjScenario,PrdAdActif!$F:$F,adProjCdCanton,PrdAdActif!$G:$G,"ACTION",PrdAdActif!$D:$D,adProjIteration,PrdAdActif!$I:$I,"1.Perf")</f>
        <v>0</v>
      </c>
      <c r="S45" s="15">
        <f>SUMIFS(PrdAdActif!$K:$K,PrdAdActif!$B:$B,adProjChocS2,PrdAdActif!$C:$C,adProjScenario,PrdAdActif!$F:$F,adProjCdCanton,PrdAdActif!$G:$G,"ACTION",PrdAdActif!$D:$D,adProjIteration,PrdAdActif!$I:$I,"1.Perf")</f>
        <v>0</v>
      </c>
      <c r="T45" s="15">
        <f>SUMIFS(PrdAdActif!$K:$K,PrdAdActif!$B:$B,adProjChocS2,PrdAdActif!$C:$C,adProjScenario,PrdAdActif!$F:$F,adProjCdCanton,PrdAdActif!$G:$G,"ACTION",PrdAdActif!$D:$D,adProjIteration,PrdAdActif!$I:$I,"1.Perf")</f>
        <v>0</v>
      </c>
      <c r="U45" s="15">
        <f>SUMIFS(PrdAdActif!$K:$K,PrdAdActif!$B:$B,adProjChocS2,PrdAdActif!$C:$C,adProjScenario,PrdAdActif!$F:$F,adProjCdCanton,PrdAdActif!$G:$G,"ACTION",PrdAdActif!$D:$D,adProjIteration,PrdAdActif!$I:$I,"1.Perf")</f>
        <v>0</v>
      </c>
      <c r="V45" s="15">
        <f>SUMIFS(PrdAdActif!$K:$K,PrdAdActif!$B:$B,adProjChocS2,PrdAdActif!$C:$C,adProjScenario,PrdAdActif!$F:$F,adProjCdCanton,PrdAdActif!$G:$G,"ACTION",PrdAdActif!$D:$D,adProjIteration,PrdAdActif!$I:$I,"1.Perf")</f>
        <v>0</v>
      </c>
      <c r="W45" s="15">
        <f>SUMIFS(PrdAdActif!$K:$K,PrdAdActif!$B:$B,adProjChocS2,PrdAdActif!$C:$C,adProjScenario,PrdAdActif!$F:$F,adProjCdCanton,PrdAdActif!$G:$G,"ACTION",PrdAdActif!$D:$D,adProjIteration,PrdAdActif!$I:$I,"1.Perf")</f>
        <v>0</v>
      </c>
      <c r="X45" s="15">
        <f>SUMIFS(PrdAdActif!$K:$K,PrdAdActif!$B:$B,adProjChocS2,PrdAdActif!$C:$C,adProjScenario,PrdAdActif!$F:$F,adProjCdCanton,PrdAdActif!$G:$G,"ACTION",PrdAdActif!$D:$D,adProjIteration,PrdAdActif!$I:$I,"1.Perf")</f>
        <v>0</v>
      </c>
      <c r="Y45" s="15">
        <f>SUMIFS(PrdAdActif!$K:$K,PrdAdActif!$B:$B,adProjChocS2,PrdAdActif!$C:$C,adProjScenario,PrdAdActif!$F:$F,adProjCdCanton,PrdAdActif!$G:$G,"ACTION",PrdAdActif!$D:$D,adProjIteration,PrdAdActif!$I:$I,"1.Perf")</f>
        <v>0</v>
      </c>
      <c r="Z45" s="15">
        <f>SUMIFS(PrdAdActif!$K:$K,PrdAdActif!$B:$B,adProjChocS2,PrdAdActif!$C:$C,adProjScenario,PrdAdActif!$F:$F,adProjCdCanton,PrdAdActif!$G:$G,"ACTION",PrdAdActif!$D:$D,adProjIteration,PrdAdActif!$I:$I,"1.Perf")</f>
        <v>0</v>
      </c>
      <c r="AA45" s="15">
        <f>SUMIFS(PrdAdActif!$K:$K,PrdAdActif!$B:$B,adProjChocS2,PrdAdActif!$C:$C,adProjScenario,PrdAdActif!$F:$F,adProjCdCanton,PrdAdActif!$G:$G,"ACTION",PrdAdActif!$D:$D,adProjIteration,PrdAdActif!$I:$I,"1.Perf")</f>
        <v>0</v>
      </c>
      <c r="AB45" s="15">
        <f>SUMIFS(PrdAdActif!$K:$K,PrdAdActif!$B:$B,adProjChocS2,PrdAdActif!$C:$C,adProjScenario,PrdAdActif!$F:$F,adProjCdCanton,PrdAdActif!$G:$G,"ACTION",PrdAdActif!$D:$D,adProjIteration,PrdAdActif!$I:$I,"1.Perf")</f>
        <v>0</v>
      </c>
      <c r="AC45" s="15">
        <f>SUMIFS(PrdAdActif!$K:$K,PrdAdActif!$B:$B,adProjChocS2,PrdAdActif!$C:$C,adProjScenario,PrdAdActif!$F:$F,adProjCdCanton,PrdAdActif!$G:$G,"ACTION",PrdAdActif!$D:$D,adProjIteration,PrdAdActif!$I:$I,"1.Perf")</f>
        <v>0</v>
      </c>
      <c r="AD45" s="15">
        <f>SUMIFS(PrdAdActif!$K:$K,PrdAdActif!$B:$B,adProjChocS2,PrdAdActif!$C:$C,adProjScenario,PrdAdActif!$F:$F,adProjCdCanton,PrdAdActif!$G:$G,"ACTION",PrdAdActif!$D:$D,adProjIteration,PrdAdActif!$I:$I,"1.Perf")</f>
        <v>0</v>
      </c>
      <c r="AE45" s="15">
        <f>SUMIFS(PrdAdActif!$K:$K,PrdAdActif!$B:$B,adProjChocS2,PrdAdActif!$C:$C,adProjScenario,PrdAdActif!$F:$F,adProjCdCanton,PrdAdActif!$G:$G,"ACTION",PrdAdActif!$D:$D,adProjIteration,PrdAdActif!$I:$I,"1.Perf")</f>
        <v>0</v>
      </c>
      <c r="AF45" s="15">
        <f>SUMIFS(PrdAdActif!$K:$K,PrdAdActif!$B:$B,adProjChocS2,PrdAdActif!$C:$C,adProjScenario,PrdAdActif!$F:$F,adProjCdCanton,PrdAdActif!$G:$G,"ACTION",PrdAdActif!$D:$D,adProjIteration,PrdAdActif!$I:$I,"1.Perf")</f>
        <v>0</v>
      </c>
      <c r="AG45" s="15">
        <f>SUMIFS(PrdAdActif!$K:$K,PrdAdActif!$B:$B,adProjChocS2,PrdAdActif!$C:$C,adProjScenario,PrdAdActif!$F:$F,adProjCdCanton,PrdAdActif!$G:$G,"ACTION",PrdAdActif!$D:$D,adProjIteration,PrdAdActif!$I:$I,"1.Perf")</f>
        <v>0</v>
      </c>
      <c r="AH45" s="15">
        <f>SUMIFS(PrdAdActif!$K:$K,PrdAdActif!$B:$B,adProjChocS2,PrdAdActif!$C:$C,adProjScenario,PrdAdActif!$F:$F,adProjCdCanton,PrdAdActif!$G:$G,"ACTION",PrdAdActif!$D:$D,adProjIteration,PrdAdActif!$I:$I,"1.Perf")</f>
        <v>0</v>
      </c>
      <c r="AI45" s="15">
        <f>SUMIFS(PrdAdActif!$K:$K,PrdAdActif!$B:$B,adProjChocS2,PrdAdActif!$C:$C,adProjScenario,PrdAdActif!$F:$F,adProjCdCanton,PrdAdActif!$G:$G,"ACTION",PrdAdActif!$D:$D,adProjIteration,PrdAdActif!$I:$I,"1.Perf")</f>
        <v>0</v>
      </c>
      <c r="AJ45" s="15">
        <f>SUMIFS(PrdAdActif!$K:$K,PrdAdActif!$B:$B,adProjChocS2,PrdAdActif!$C:$C,adProjScenario,PrdAdActif!$F:$F,adProjCdCanton,PrdAdActif!$G:$G,"ACTION",PrdAdActif!$D:$D,adProjIteration,PrdAdActif!$I:$I,"1.Perf")</f>
        <v>0</v>
      </c>
      <c r="AK45" s="15">
        <f>SUMIFS(PrdAdActif!$K:$K,PrdAdActif!$B:$B,adProjChocS2,PrdAdActif!$C:$C,adProjScenario,PrdAdActif!$F:$F,adProjCdCanton,PrdAdActif!$G:$G,"ACTION",PrdAdActif!$D:$D,adProjIteration,PrdAdActif!$I:$I,"1.Perf")</f>
        <v>0</v>
      </c>
      <c r="AL45" s="15">
        <f>SUMIFS(PrdAdActif!$K:$K,PrdAdActif!$B:$B,adProjChocS2,PrdAdActif!$C:$C,adProjScenario,PrdAdActif!$F:$F,adProjCdCanton,PrdAdActif!$G:$G,"ACTION",PrdAdActif!$D:$D,adProjIteration,PrdAdActif!$I:$I,"1.Perf")</f>
        <v>0</v>
      </c>
      <c r="AM45" s="15">
        <f>SUMIFS(PrdAdActif!$K:$K,PrdAdActif!$B:$B,adProjChocS2,PrdAdActif!$C:$C,adProjScenario,PrdAdActif!$F:$F,adProjCdCanton,PrdAdActif!$G:$G,"ACTION",PrdAdActif!$D:$D,adProjIteration,PrdAdActif!$I:$I,"1.Perf")</f>
        <v>0</v>
      </c>
      <c r="AN45" s="15">
        <f>SUMIFS(PrdAdActif!$K:$K,PrdAdActif!$B:$B,adProjChocS2,PrdAdActif!$C:$C,adProjScenario,PrdAdActif!$F:$F,adProjCdCanton,PrdAdActif!$G:$G,"ACTION",PrdAdActif!$D:$D,adProjIteration,PrdAdActif!$I:$I,"1.Perf")</f>
        <v>0</v>
      </c>
      <c r="AO45" s="15">
        <f>SUMIFS(PrdAdActif!$K:$K,PrdAdActif!$B:$B,adProjChocS2,PrdAdActif!$C:$C,adProjScenario,PrdAdActif!$F:$F,adProjCdCanton,PrdAdActif!$G:$G,"ACTION",PrdAdActif!$D:$D,adProjIteration,PrdAdActif!$I:$I,"1.Perf")</f>
        <v>0</v>
      </c>
      <c r="AP45" s="15">
        <f>SUMIFS(PrdAdActif!$K:$K,PrdAdActif!$B:$B,adProjChocS2,PrdAdActif!$C:$C,adProjScenario,PrdAdActif!$F:$F,adProjCdCanton,PrdAdActif!$G:$G,"ACTION",PrdAdActif!$D:$D,adProjIteration,PrdAdActif!$I:$I,"1.Perf")</f>
        <v>0</v>
      </c>
      <c r="AQ45" s="15">
        <f>SUMIFS(PrdAdActif!$K:$K,PrdAdActif!$B:$B,adProjChocS2,PrdAdActif!$C:$C,adProjScenario,PrdAdActif!$F:$F,adProjCdCanton,PrdAdActif!$G:$G,"ACTION",PrdAdActif!$D:$D,adProjIteration,PrdAdActif!$I:$I,"1.Perf")</f>
        <v>0</v>
      </c>
      <c r="AR45" s="15">
        <f>SUMIFS(PrdAdActif!$K:$K,PrdAdActif!$B:$B,adProjChocS2,PrdAdActif!$C:$C,adProjScenario,PrdAdActif!$F:$F,adProjCdCanton,PrdAdActif!$G:$G,"ACTION",PrdAdActif!$D:$D,adProjIteration,PrdAdActif!$I:$I,"1.Perf")</f>
        <v>0</v>
      </c>
      <c r="AS45" s="15">
        <f>SUMIFS(PrdAdActif!$K:$K,PrdAdActif!$B:$B,adProjChocS2,PrdAdActif!$C:$C,adProjScenario,PrdAdActif!$F:$F,adProjCdCanton,PrdAdActif!$G:$G,"ACTION",PrdAdActif!$D:$D,adProjIteration,PrdAdActif!$I:$I,"1.Perf")</f>
        <v>0</v>
      </c>
      <c r="AT45" s="15">
        <f>SUMIFS(PrdAdActif!$K:$K,PrdAdActif!$B:$B,adProjChocS2,PrdAdActif!$C:$C,adProjScenario,PrdAdActif!$F:$F,adProjCdCanton,PrdAdActif!$G:$G,"ACTION",PrdAdActif!$D:$D,adProjIteration,PrdAdActif!$I:$I,"1.Perf")</f>
        <v>0</v>
      </c>
      <c r="AU45" s="15">
        <f>SUMIFS(PrdAdActif!$K:$K,PrdAdActif!$B:$B,adProjChocS2,PrdAdActif!$C:$C,adProjScenario,PrdAdActif!$F:$F,adProjCdCanton,PrdAdActif!$G:$G,"ACTION",PrdAdActif!$D:$D,adProjIteration,PrdAdActif!$I:$I,"1.Perf")</f>
        <v>0</v>
      </c>
      <c r="AV45" s="15">
        <f>SUMIFS(PrdAdActif!$K:$K,PrdAdActif!$B:$B,adProjChocS2,PrdAdActif!$C:$C,adProjScenario,PrdAdActif!$F:$F,adProjCdCanton,PrdAdActif!$G:$G,"ACTION",PrdAdActif!$D:$D,adProjIteration,PrdAdActif!$I:$I,"1.Perf")</f>
        <v>0</v>
      </c>
      <c r="AW45" s="15">
        <f>SUMIFS(PrdAdActif!$K:$K,PrdAdActif!$B:$B,adProjChocS2,PrdAdActif!$C:$C,adProjScenario,PrdAdActif!$F:$F,adProjCdCanton,PrdAdActif!$G:$G,"ACTION",PrdAdActif!$D:$D,adProjIteration,PrdAdActif!$I:$I,"1.Perf")</f>
        <v>0</v>
      </c>
      <c r="AX45" s="15">
        <f>SUMIFS(PrdAdActif!$K:$K,PrdAdActif!$B:$B,adProjChocS2,PrdAdActif!$C:$C,adProjScenario,PrdAdActif!$F:$F,adProjCdCanton,PrdAdActif!$G:$G,"ACTION",PrdAdActif!$D:$D,adProjIteration,PrdAdActif!$I:$I,"1.Perf")</f>
        <v>0</v>
      </c>
      <c r="AY45" s="15">
        <f>SUMIFS(PrdAdActif!$K:$K,PrdAdActif!$B:$B,adProjChocS2,PrdAdActif!$C:$C,adProjScenario,PrdAdActif!$F:$F,adProjCdCanton,PrdAdActif!$G:$G,"ACTION",PrdAdActif!$D:$D,adProjIteration,PrdAdActif!$I:$I,"1.Perf")</f>
        <v>0</v>
      </c>
      <c r="AZ45" s="15">
        <f>SUMIFS(PrdAdActif!$K:$K,PrdAdActif!$B:$B,adProjChocS2,PrdAdActif!$C:$C,adProjScenario,PrdAdActif!$F:$F,adProjCdCanton,PrdAdActif!$G:$G,"ACTION",PrdAdActif!$D:$D,adProjIteration,PrdAdActif!$I:$I,"1.Perf")</f>
        <v>0</v>
      </c>
      <c r="BA45" s="15">
        <f>SUMIFS(PrdAdActif!$K:$K,PrdAdActif!$B:$B,adProjChocS2,PrdAdActif!$C:$C,adProjScenario,PrdAdActif!$F:$F,adProjCdCanton,PrdAdActif!$G:$G,"ACTION",PrdAdActif!$D:$D,adProjIteration,PrdAdActif!$I:$I,"1.Perf")</f>
        <v>0</v>
      </c>
      <c r="BB45" s="15">
        <f>SUMIFS(PrdAdActif!$K:$K,PrdAdActif!$B:$B,adProjChocS2,PrdAdActif!$C:$C,adProjScenario,PrdAdActif!$F:$F,adProjCdCanton,PrdAdActif!$G:$G,"ACTION",PrdAdActif!$D:$D,adProjIteration,PrdAdActif!$I:$I,"1.Perf")</f>
        <v>0</v>
      </c>
    </row>
    <row r="46" spans="2:54" ht="16.5" x14ac:dyDescent="0.3">
      <c r="B46" s="17"/>
      <c r="C46" s="14" t="s">
        <v>39</v>
      </c>
      <c r="D46" s="15">
        <f>SUMIFS(PrdAdActif!$M:$M,PrdAdActif!$B:$B,adProjChocS2,PrdAdActif!$C:$C,adProjScenario,PrdAdActif!$F:$F,adProjCdCanton,PrdAdActif!$G:$G,"MONETAIRE",PrdAdActif!$D:$D,adProjIteration,PrdAdActif!$I:$I,"1.Perf")</f>
        <v>0</v>
      </c>
      <c r="E46" s="15">
        <f>SUMIFS(PrdAdActif!$K:$K,PrdAdActif!$B:$B,adProjChocS2,PrdAdActif!$C:$C,adProjScenario,PrdAdActif!$F:$F,adProjCdCanton,PrdAdActif!$G:$G,"MONETAIRE",PrdAdActif!$D:$D,adProjIteration,PrdAdActif!$I:$I,"1.Perf")</f>
        <v>0</v>
      </c>
      <c r="F46" s="15">
        <f>SUMIFS(PrdAdActif!$K:$K,PrdAdActif!$B:$B,adProjChocS2,PrdAdActif!$C:$C,adProjScenario,PrdAdActif!$F:$F,adProjCdCanton,PrdAdActif!$G:$G,"MONETAIRE",PrdAdActif!$D:$D,adProjIteration,PrdAdActif!$I:$I,"1.Perf")</f>
        <v>0</v>
      </c>
      <c r="G46" s="15">
        <f>SUMIFS(PrdAdActif!$K:$K,PrdAdActif!$B:$B,adProjChocS2,PrdAdActif!$C:$C,adProjScenario,PrdAdActif!$F:$F,adProjCdCanton,PrdAdActif!$G:$G,"MONETAIRE",PrdAdActif!$D:$D,adProjIteration,PrdAdActif!$I:$I,"1.Perf")</f>
        <v>0</v>
      </c>
      <c r="H46" s="15">
        <f>SUMIFS(PrdAdActif!$K:$K,PrdAdActif!$B:$B,adProjChocS2,PrdAdActif!$C:$C,adProjScenario,PrdAdActif!$F:$F,adProjCdCanton,PrdAdActif!$G:$G,"MONETAIRE",PrdAdActif!$D:$D,adProjIteration,PrdAdActif!$I:$I,"1.Perf")</f>
        <v>0</v>
      </c>
      <c r="I46" s="15">
        <f>SUMIFS(PrdAdActif!$K:$K,PrdAdActif!$B:$B,adProjChocS2,PrdAdActif!$C:$C,adProjScenario,PrdAdActif!$F:$F,adProjCdCanton,PrdAdActif!$G:$G,"MONETAIRE",PrdAdActif!$D:$D,adProjIteration,PrdAdActif!$I:$I,"1.Perf")</f>
        <v>0</v>
      </c>
      <c r="J46" s="15">
        <f>SUMIFS(PrdAdActif!$K:$K,PrdAdActif!$B:$B,adProjChocS2,PrdAdActif!$C:$C,adProjScenario,PrdAdActif!$F:$F,adProjCdCanton,PrdAdActif!$G:$G,"MONETAIRE",PrdAdActif!$D:$D,adProjIteration,PrdAdActif!$I:$I,"1.Perf")</f>
        <v>0</v>
      </c>
      <c r="K46" s="15">
        <f>SUMIFS(PrdAdActif!$K:$K,PrdAdActif!$B:$B,adProjChocS2,PrdAdActif!$C:$C,adProjScenario,PrdAdActif!$F:$F,adProjCdCanton,PrdAdActif!$G:$G,"MONETAIRE",PrdAdActif!$D:$D,adProjIteration,PrdAdActif!$I:$I,"1.Perf")</f>
        <v>0</v>
      </c>
      <c r="L46" s="15">
        <f>SUMIFS(PrdAdActif!$K:$K,PrdAdActif!$B:$B,adProjChocS2,PrdAdActif!$C:$C,adProjScenario,PrdAdActif!$F:$F,adProjCdCanton,PrdAdActif!$G:$G,"MONETAIRE",PrdAdActif!$D:$D,adProjIteration,PrdAdActif!$I:$I,"1.Perf")</f>
        <v>0</v>
      </c>
      <c r="M46" s="15">
        <f>SUMIFS(PrdAdActif!$K:$K,PrdAdActif!$B:$B,adProjChocS2,PrdAdActif!$C:$C,adProjScenario,PrdAdActif!$F:$F,adProjCdCanton,PrdAdActif!$G:$G,"MONETAIRE",PrdAdActif!$D:$D,adProjIteration,PrdAdActif!$I:$I,"1.Perf")</f>
        <v>0</v>
      </c>
      <c r="N46" s="15">
        <f>SUMIFS(PrdAdActif!$K:$K,PrdAdActif!$B:$B,adProjChocS2,PrdAdActif!$C:$C,adProjScenario,PrdAdActif!$F:$F,adProjCdCanton,PrdAdActif!$G:$G,"MONETAIRE",PrdAdActif!$D:$D,adProjIteration,PrdAdActif!$I:$I,"1.Perf")</f>
        <v>0</v>
      </c>
      <c r="O46" s="15">
        <f>SUMIFS(PrdAdActif!$K:$K,PrdAdActif!$B:$B,adProjChocS2,PrdAdActif!$C:$C,adProjScenario,PrdAdActif!$F:$F,adProjCdCanton,PrdAdActif!$G:$G,"MONETAIRE",PrdAdActif!$D:$D,adProjIteration,PrdAdActif!$I:$I,"1.Perf")</f>
        <v>0</v>
      </c>
      <c r="P46" s="15">
        <f>SUMIFS(PrdAdActif!$K:$K,PrdAdActif!$B:$B,adProjChocS2,PrdAdActif!$C:$C,adProjScenario,PrdAdActif!$F:$F,adProjCdCanton,PrdAdActif!$G:$G,"MONETAIRE",PrdAdActif!$D:$D,adProjIteration,PrdAdActif!$I:$I,"1.Perf")</f>
        <v>0</v>
      </c>
      <c r="Q46" s="15">
        <f>SUMIFS(PrdAdActif!$K:$K,PrdAdActif!$B:$B,adProjChocS2,PrdAdActif!$C:$C,adProjScenario,PrdAdActif!$F:$F,adProjCdCanton,PrdAdActif!$G:$G,"MONETAIRE",PrdAdActif!$D:$D,adProjIteration,PrdAdActif!$I:$I,"1.Perf")</f>
        <v>0</v>
      </c>
      <c r="R46" s="15">
        <f>SUMIFS(PrdAdActif!$K:$K,PrdAdActif!$B:$B,adProjChocS2,PrdAdActif!$C:$C,adProjScenario,PrdAdActif!$F:$F,adProjCdCanton,PrdAdActif!$G:$G,"MONETAIRE",PrdAdActif!$D:$D,adProjIteration,PrdAdActif!$I:$I,"1.Perf")</f>
        <v>0</v>
      </c>
      <c r="S46" s="15">
        <f>SUMIFS(PrdAdActif!$K:$K,PrdAdActif!$B:$B,adProjChocS2,PrdAdActif!$C:$C,adProjScenario,PrdAdActif!$F:$F,adProjCdCanton,PrdAdActif!$G:$G,"MONETAIRE",PrdAdActif!$D:$D,adProjIteration,PrdAdActif!$I:$I,"1.Perf")</f>
        <v>0</v>
      </c>
      <c r="T46" s="15">
        <f>SUMIFS(PrdAdActif!$K:$K,PrdAdActif!$B:$B,adProjChocS2,PrdAdActif!$C:$C,adProjScenario,PrdAdActif!$F:$F,adProjCdCanton,PrdAdActif!$G:$G,"MONETAIRE",PrdAdActif!$D:$D,adProjIteration,PrdAdActif!$I:$I,"1.Perf")</f>
        <v>0</v>
      </c>
      <c r="U46" s="15">
        <f>SUMIFS(PrdAdActif!$K:$K,PrdAdActif!$B:$B,adProjChocS2,PrdAdActif!$C:$C,adProjScenario,PrdAdActif!$F:$F,adProjCdCanton,PrdAdActif!$G:$G,"MONETAIRE",PrdAdActif!$D:$D,adProjIteration,PrdAdActif!$I:$I,"1.Perf")</f>
        <v>0</v>
      </c>
      <c r="V46" s="15">
        <f>SUMIFS(PrdAdActif!$K:$K,PrdAdActif!$B:$B,adProjChocS2,PrdAdActif!$C:$C,adProjScenario,PrdAdActif!$F:$F,adProjCdCanton,PrdAdActif!$G:$G,"MONETAIRE",PrdAdActif!$D:$D,adProjIteration,PrdAdActif!$I:$I,"1.Perf")</f>
        <v>0</v>
      </c>
      <c r="W46" s="15">
        <f>SUMIFS(PrdAdActif!$K:$K,PrdAdActif!$B:$B,adProjChocS2,PrdAdActif!$C:$C,adProjScenario,PrdAdActif!$F:$F,adProjCdCanton,PrdAdActif!$G:$G,"MONETAIRE",PrdAdActif!$D:$D,adProjIteration,PrdAdActif!$I:$I,"1.Perf")</f>
        <v>0</v>
      </c>
      <c r="X46" s="15">
        <f>SUMIFS(PrdAdActif!$K:$K,PrdAdActif!$B:$B,adProjChocS2,PrdAdActif!$C:$C,adProjScenario,PrdAdActif!$F:$F,adProjCdCanton,PrdAdActif!$G:$G,"MONETAIRE",PrdAdActif!$D:$D,adProjIteration,PrdAdActif!$I:$I,"1.Perf")</f>
        <v>0</v>
      </c>
      <c r="Y46" s="15">
        <f>SUMIFS(PrdAdActif!$K:$K,PrdAdActif!$B:$B,adProjChocS2,PrdAdActif!$C:$C,adProjScenario,PrdAdActif!$F:$F,adProjCdCanton,PrdAdActif!$G:$G,"MONETAIRE",PrdAdActif!$D:$D,adProjIteration,PrdAdActif!$I:$I,"1.Perf")</f>
        <v>0</v>
      </c>
      <c r="Z46" s="15">
        <f>SUMIFS(PrdAdActif!$K:$K,PrdAdActif!$B:$B,adProjChocS2,PrdAdActif!$C:$C,adProjScenario,PrdAdActif!$F:$F,adProjCdCanton,PrdAdActif!$G:$G,"MONETAIRE",PrdAdActif!$D:$D,adProjIteration,PrdAdActif!$I:$I,"1.Perf")</f>
        <v>0</v>
      </c>
      <c r="AA46" s="15">
        <f>SUMIFS(PrdAdActif!$K:$K,PrdAdActif!$B:$B,adProjChocS2,PrdAdActif!$C:$C,adProjScenario,PrdAdActif!$F:$F,adProjCdCanton,PrdAdActif!$G:$G,"MONETAIRE",PrdAdActif!$D:$D,adProjIteration,PrdAdActif!$I:$I,"1.Perf")</f>
        <v>0</v>
      </c>
      <c r="AB46" s="15">
        <f>SUMIFS(PrdAdActif!$K:$K,PrdAdActif!$B:$B,adProjChocS2,PrdAdActif!$C:$C,adProjScenario,PrdAdActif!$F:$F,adProjCdCanton,PrdAdActif!$G:$G,"MONETAIRE",PrdAdActif!$D:$D,adProjIteration,PrdAdActif!$I:$I,"1.Perf")</f>
        <v>0</v>
      </c>
      <c r="AC46" s="15">
        <f>SUMIFS(PrdAdActif!$K:$K,PrdAdActif!$B:$B,adProjChocS2,PrdAdActif!$C:$C,adProjScenario,PrdAdActif!$F:$F,adProjCdCanton,PrdAdActif!$G:$G,"MONETAIRE",PrdAdActif!$D:$D,adProjIteration,PrdAdActif!$I:$I,"1.Perf")</f>
        <v>0</v>
      </c>
      <c r="AD46" s="15">
        <f>SUMIFS(PrdAdActif!$K:$K,PrdAdActif!$B:$B,adProjChocS2,PrdAdActif!$C:$C,adProjScenario,PrdAdActif!$F:$F,adProjCdCanton,PrdAdActif!$G:$G,"MONETAIRE",PrdAdActif!$D:$D,adProjIteration,PrdAdActif!$I:$I,"1.Perf")</f>
        <v>0</v>
      </c>
      <c r="AE46" s="15">
        <f>SUMIFS(PrdAdActif!$K:$K,PrdAdActif!$B:$B,adProjChocS2,PrdAdActif!$C:$C,adProjScenario,PrdAdActif!$F:$F,adProjCdCanton,PrdAdActif!$G:$G,"MONETAIRE",PrdAdActif!$D:$D,adProjIteration,PrdAdActif!$I:$I,"1.Perf")</f>
        <v>0</v>
      </c>
      <c r="AF46" s="15">
        <f>SUMIFS(PrdAdActif!$K:$K,PrdAdActif!$B:$B,adProjChocS2,PrdAdActif!$C:$C,adProjScenario,PrdAdActif!$F:$F,adProjCdCanton,PrdAdActif!$G:$G,"MONETAIRE",PrdAdActif!$D:$D,adProjIteration,PrdAdActif!$I:$I,"1.Perf")</f>
        <v>0</v>
      </c>
      <c r="AG46" s="15">
        <f>SUMIFS(PrdAdActif!$K:$K,PrdAdActif!$B:$B,adProjChocS2,PrdAdActif!$C:$C,adProjScenario,PrdAdActif!$F:$F,adProjCdCanton,PrdAdActif!$G:$G,"MONETAIRE",PrdAdActif!$D:$D,adProjIteration,PrdAdActif!$I:$I,"1.Perf")</f>
        <v>0</v>
      </c>
      <c r="AH46" s="15">
        <f>SUMIFS(PrdAdActif!$K:$K,PrdAdActif!$B:$B,adProjChocS2,PrdAdActif!$C:$C,adProjScenario,PrdAdActif!$F:$F,adProjCdCanton,PrdAdActif!$G:$G,"MONETAIRE",PrdAdActif!$D:$D,adProjIteration,PrdAdActif!$I:$I,"1.Perf")</f>
        <v>0</v>
      </c>
      <c r="AI46" s="15">
        <f>SUMIFS(PrdAdActif!$K:$K,PrdAdActif!$B:$B,adProjChocS2,PrdAdActif!$C:$C,adProjScenario,PrdAdActif!$F:$F,adProjCdCanton,PrdAdActif!$G:$G,"MONETAIRE",PrdAdActif!$D:$D,adProjIteration,PrdAdActif!$I:$I,"1.Perf")</f>
        <v>0</v>
      </c>
      <c r="AJ46" s="15">
        <f>SUMIFS(PrdAdActif!$K:$K,PrdAdActif!$B:$B,adProjChocS2,PrdAdActif!$C:$C,adProjScenario,PrdAdActif!$F:$F,adProjCdCanton,PrdAdActif!$G:$G,"MONETAIRE",PrdAdActif!$D:$D,adProjIteration,PrdAdActif!$I:$I,"1.Perf")</f>
        <v>0</v>
      </c>
      <c r="AK46" s="15">
        <f>SUMIFS(PrdAdActif!$K:$K,PrdAdActif!$B:$B,adProjChocS2,PrdAdActif!$C:$C,adProjScenario,PrdAdActif!$F:$F,adProjCdCanton,PrdAdActif!$G:$G,"MONETAIRE",PrdAdActif!$D:$D,adProjIteration,PrdAdActif!$I:$I,"1.Perf")</f>
        <v>0</v>
      </c>
      <c r="AL46" s="15">
        <f>SUMIFS(PrdAdActif!$K:$K,PrdAdActif!$B:$B,adProjChocS2,PrdAdActif!$C:$C,adProjScenario,PrdAdActif!$F:$F,adProjCdCanton,PrdAdActif!$G:$G,"MONETAIRE",PrdAdActif!$D:$D,adProjIteration,PrdAdActif!$I:$I,"1.Perf")</f>
        <v>0</v>
      </c>
      <c r="AM46" s="15">
        <f>SUMIFS(PrdAdActif!$K:$K,PrdAdActif!$B:$B,adProjChocS2,PrdAdActif!$C:$C,adProjScenario,PrdAdActif!$F:$F,adProjCdCanton,PrdAdActif!$G:$G,"MONETAIRE",PrdAdActif!$D:$D,adProjIteration,PrdAdActif!$I:$I,"1.Perf")</f>
        <v>0</v>
      </c>
      <c r="AN46" s="15">
        <f>SUMIFS(PrdAdActif!$K:$K,PrdAdActif!$B:$B,adProjChocS2,PrdAdActif!$C:$C,adProjScenario,PrdAdActif!$F:$F,adProjCdCanton,PrdAdActif!$G:$G,"MONETAIRE",PrdAdActif!$D:$D,adProjIteration,PrdAdActif!$I:$I,"1.Perf")</f>
        <v>0</v>
      </c>
      <c r="AO46" s="15">
        <f>SUMIFS(PrdAdActif!$K:$K,PrdAdActif!$B:$B,adProjChocS2,PrdAdActif!$C:$C,adProjScenario,PrdAdActif!$F:$F,adProjCdCanton,PrdAdActif!$G:$G,"MONETAIRE",PrdAdActif!$D:$D,adProjIteration,PrdAdActif!$I:$I,"1.Perf")</f>
        <v>0</v>
      </c>
      <c r="AP46" s="15">
        <f>SUMIFS(PrdAdActif!$K:$K,PrdAdActif!$B:$B,adProjChocS2,PrdAdActif!$C:$C,adProjScenario,PrdAdActif!$F:$F,adProjCdCanton,PrdAdActif!$G:$G,"MONETAIRE",PrdAdActif!$D:$D,adProjIteration,PrdAdActif!$I:$I,"1.Perf")</f>
        <v>0</v>
      </c>
      <c r="AQ46" s="15">
        <f>SUMIFS(PrdAdActif!$K:$K,PrdAdActif!$B:$B,adProjChocS2,PrdAdActif!$C:$C,adProjScenario,PrdAdActif!$F:$F,adProjCdCanton,PrdAdActif!$G:$G,"MONETAIRE",PrdAdActif!$D:$D,adProjIteration,PrdAdActif!$I:$I,"1.Perf")</f>
        <v>0</v>
      </c>
      <c r="AR46" s="15">
        <f>SUMIFS(PrdAdActif!$K:$K,PrdAdActif!$B:$B,adProjChocS2,PrdAdActif!$C:$C,adProjScenario,PrdAdActif!$F:$F,adProjCdCanton,PrdAdActif!$G:$G,"MONETAIRE",PrdAdActif!$D:$D,adProjIteration,PrdAdActif!$I:$I,"1.Perf")</f>
        <v>0</v>
      </c>
      <c r="AS46" s="15">
        <f>SUMIFS(PrdAdActif!$K:$K,PrdAdActif!$B:$B,adProjChocS2,PrdAdActif!$C:$C,adProjScenario,PrdAdActif!$F:$F,adProjCdCanton,PrdAdActif!$G:$G,"MONETAIRE",PrdAdActif!$D:$D,adProjIteration,PrdAdActif!$I:$I,"1.Perf")</f>
        <v>0</v>
      </c>
      <c r="AT46" s="15">
        <f>SUMIFS(PrdAdActif!$K:$K,PrdAdActif!$B:$B,adProjChocS2,PrdAdActif!$C:$C,adProjScenario,PrdAdActif!$F:$F,adProjCdCanton,PrdAdActif!$G:$G,"MONETAIRE",PrdAdActif!$D:$D,adProjIteration,PrdAdActif!$I:$I,"1.Perf")</f>
        <v>0</v>
      </c>
      <c r="AU46" s="15">
        <f>SUMIFS(PrdAdActif!$K:$K,PrdAdActif!$B:$B,adProjChocS2,PrdAdActif!$C:$C,adProjScenario,PrdAdActif!$F:$F,adProjCdCanton,PrdAdActif!$G:$G,"MONETAIRE",PrdAdActif!$D:$D,adProjIteration,PrdAdActif!$I:$I,"1.Perf")</f>
        <v>0</v>
      </c>
      <c r="AV46" s="15">
        <f>SUMIFS(PrdAdActif!$K:$K,PrdAdActif!$B:$B,adProjChocS2,PrdAdActif!$C:$C,adProjScenario,PrdAdActif!$F:$F,adProjCdCanton,PrdAdActif!$G:$G,"MONETAIRE",PrdAdActif!$D:$D,adProjIteration,PrdAdActif!$I:$I,"1.Perf")</f>
        <v>0</v>
      </c>
      <c r="AW46" s="15">
        <f>SUMIFS(PrdAdActif!$K:$K,PrdAdActif!$B:$B,adProjChocS2,PrdAdActif!$C:$C,adProjScenario,PrdAdActif!$F:$F,adProjCdCanton,PrdAdActif!$G:$G,"MONETAIRE",PrdAdActif!$D:$D,adProjIteration,PrdAdActif!$I:$I,"1.Perf")</f>
        <v>0</v>
      </c>
      <c r="AX46" s="15">
        <f>SUMIFS(PrdAdActif!$K:$K,PrdAdActif!$B:$B,adProjChocS2,PrdAdActif!$C:$C,adProjScenario,PrdAdActif!$F:$F,adProjCdCanton,PrdAdActif!$G:$G,"MONETAIRE",PrdAdActif!$D:$D,adProjIteration,PrdAdActif!$I:$I,"1.Perf")</f>
        <v>0</v>
      </c>
      <c r="AY46" s="15">
        <f>SUMIFS(PrdAdActif!$K:$K,PrdAdActif!$B:$B,adProjChocS2,PrdAdActif!$C:$C,adProjScenario,PrdAdActif!$F:$F,adProjCdCanton,PrdAdActif!$G:$G,"MONETAIRE",PrdAdActif!$D:$D,adProjIteration,PrdAdActif!$I:$I,"1.Perf")</f>
        <v>0</v>
      </c>
      <c r="AZ46" s="15">
        <f>SUMIFS(PrdAdActif!$K:$K,PrdAdActif!$B:$B,adProjChocS2,PrdAdActif!$C:$C,adProjScenario,PrdAdActif!$F:$F,adProjCdCanton,PrdAdActif!$G:$G,"MONETAIRE",PrdAdActif!$D:$D,adProjIteration,PrdAdActif!$I:$I,"1.Perf")</f>
        <v>0</v>
      </c>
      <c r="BA46" s="15">
        <f>SUMIFS(PrdAdActif!$K:$K,PrdAdActif!$B:$B,adProjChocS2,PrdAdActif!$C:$C,adProjScenario,PrdAdActif!$F:$F,adProjCdCanton,PrdAdActif!$G:$G,"MONETAIRE",PrdAdActif!$D:$D,adProjIteration,PrdAdActif!$I:$I,"1.Perf")</f>
        <v>0</v>
      </c>
      <c r="BB46" s="15">
        <f>SUMIFS(PrdAdActif!$K:$K,PrdAdActif!$B:$B,adProjChocS2,PrdAdActif!$C:$C,adProjScenario,PrdAdActif!$F:$F,adProjCdCanton,PrdAdActif!$G:$G,"MONETAIRE",PrdAdActif!$D:$D,adProjIteration,PrdAdActif!$I:$I,"1.Perf")</f>
        <v>0</v>
      </c>
    </row>
    <row r="47" spans="2:54" ht="16.5" x14ac:dyDescent="0.3">
      <c r="B47" s="17"/>
      <c r="C47" s="14" t="s">
        <v>40</v>
      </c>
      <c r="D47" s="15"/>
      <c r="E47" s="15">
        <f t="shared" ref="E47:BB47" si="11">SUM(E43:E46)</f>
        <v>0</v>
      </c>
      <c r="F47" s="15">
        <f t="shared" si="11"/>
        <v>0</v>
      </c>
      <c r="G47" s="15">
        <f t="shared" si="11"/>
        <v>0</v>
      </c>
      <c r="H47" s="15">
        <f t="shared" si="11"/>
        <v>0</v>
      </c>
      <c r="I47" s="15">
        <f t="shared" si="11"/>
        <v>0</v>
      </c>
      <c r="J47" s="15">
        <f t="shared" si="11"/>
        <v>0</v>
      </c>
      <c r="K47" s="15">
        <f t="shared" si="11"/>
        <v>0</v>
      </c>
      <c r="L47" s="15">
        <f t="shared" si="11"/>
        <v>0</v>
      </c>
      <c r="M47" s="15">
        <f t="shared" si="11"/>
        <v>0</v>
      </c>
      <c r="N47" s="15">
        <f t="shared" si="11"/>
        <v>0</v>
      </c>
      <c r="O47" s="15">
        <f t="shared" si="11"/>
        <v>0</v>
      </c>
      <c r="P47" s="15">
        <f t="shared" si="11"/>
        <v>0</v>
      </c>
      <c r="Q47" s="15">
        <f t="shared" si="11"/>
        <v>0</v>
      </c>
      <c r="R47" s="15">
        <f t="shared" si="11"/>
        <v>0</v>
      </c>
      <c r="S47" s="15">
        <f t="shared" si="11"/>
        <v>0</v>
      </c>
      <c r="T47" s="15">
        <f t="shared" si="11"/>
        <v>0</v>
      </c>
      <c r="U47" s="15">
        <f t="shared" si="11"/>
        <v>0</v>
      </c>
      <c r="V47" s="15">
        <f t="shared" si="11"/>
        <v>0</v>
      </c>
      <c r="W47" s="15">
        <f t="shared" si="11"/>
        <v>0</v>
      </c>
      <c r="X47" s="15">
        <f t="shared" si="11"/>
        <v>0</v>
      </c>
      <c r="Y47" s="15">
        <f t="shared" si="11"/>
        <v>0</v>
      </c>
      <c r="Z47" s="15">
        <f t="shared" si="11"/>
        <v>0</v>
      </c>
      <c r="AA47" s="15">
        <f t="shared" si="11"/>
        <v>0</v>
      </c>
      <c r="AB47" s="15">
        <f t="shared" si="11"/>
        <v>0</v>
      </c>
      <c r="AC47" s="15">
        <f t="shared" si="11"/>
        <v>0</v>
      </c>
      <c r="AD47" s="15">
        <f t="shared" si="11"/>
        <v>0</v>
      </c>
      <c r="AE47" s="15">
        <f t="shared" si="11"/>
        <v>0</v>
      </c>
      <c r="AF47" s="15">
        <f t="shared" si="11"/>
        <v>0</v>
      </c>
      <c r="AG47" s="15">
        <f t="shared" si="11"/>
        <v>0</v>
      </c>
      <c r="AH47" s="15">
        <f t="shared" si="11"/>
        <v>0</v>
      </c>
      <c r="AI47" s="15">
        <f t="shared" si="11"/>
        <v>0</v>
      </c>
      <c r="AJ47" s="15">
        <f t="shared" si="11"/>
        <v>0</v>
      </c>
      <c r="AK47" s="15">
        <f t="shared" si="11"/>
        <v>0</v>
      </c>
      <c r="AL47" s="15">
        <f t="shared" si="11"/>
        <v>0</v>
      </c>
      <c r="AM47" s="15">
        <f t="shared" si="11"/>
        <v>0</v>
      </c>
      <c r="AN47" s="15">
        <f t="shared" si="11"/>
        <v>0</v>
      </c>
      <c r="AO47" s="15">
        <f t="shared" si="11"/>
        <v>0</v>
      </c>
      <c r="AP47" s="15">
        <f t="shared" si="11"/>
        <v>0</v>
      </c>
      <c r="AQ47" s="15">
        <f t="shared" si="11"/>
        <v>0</v>
      </c>
      <c r="AR47" s="15">
        <f t="shared" si="11"/>
        <v>0</v>
      </c>
      <c r="AS47" s="15">
        <f t="shared" si="11"/>
        <v>0</v>
      </c>
      <c r="AT47" s="15">
        <f t="shared" si="11"/>
        <v>0</v>
      </c>
      <c r="AU47" s="15">
        <f t="shared" si="11"/>
        <v>0</v>
      </c>
      <c r="AV47" s="15">
        <f t="shared" si="11"/>
        <v>0</v>
      </c>
      <c r="AW47" s="15">
        <f t="shared" si="11"/>
        <v>0</v>
      </c>
      <c r="AX47" s="15">
        <f t="shared" si="11"/>
        <v>0</v>
      </c>
      <c r="AY47" s="15">
        <f t="shared" si="11"/>
        <v>0</v>
      </c>
      <c r="AZ47" s="15">
        <f t="shared" si="11"/>
        <v>0</v>
      </c>
      <c r="BA47" s="15">
        <f t="shared" si="11"/>
        <v>0</v>
      </c>
      <c r="BB47" s="15">
        <f t="shared" si="11"/>
        <v>0</v>
      </c>
    </row>
    <row r="48" spans="2:54" ht="16.5" x14ac:dyDescent="0.3">
      <c r="B48" s="17"/>
      <c r="C48" s="14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</row>
    <row r="49" spans="2:54" ht="16.5" x14ac:dyDescent="0.3">
      <c r="B49" s="17"/>
      <c r="C49" s="14" t="s">
        <v>41</v>
      </c>
      <c r="D49" s="15"/>
      <c r="E49" s="15">
        <f>SUMIFS(PrdAdActif!$R:$R,PrdAdActif!$B:$B,adProjChocS2,PrdAdActif!$C:$C,adProjScenario,PrdAdActif!$F:$F,adProjCdCanton,PrdAdActif!$D:$D,adProjIteration,PrdAdActif!$I:$I,"1.Perf")</f>
        <v>0</v>
      </c>
      <c r="F49" s="15">
        <f>SUMIFS(PrdAdActif!$R:$R,PrdAdActif!$B:$B,adProjChocS2,PrdAdActif!$C:$C,adProjScenario,PrdAdActif!$F:$F,adProjCdCanton,PrdAdActif!$D:$D,adProjIteration,PrdAdActif!$I:$I,"1.Perf")</f>
        <v>0</v>
      </c>
      <c r="G49" s="15">
        <f>SUMIFS(PrdAdActif!$R:$R,PrdAdActif!$B:$B,adProjChocS2,PrdAdActif!$C:$C,adProjScenario,PrdAdActif!$F:$F,adProjCdCanton,PrdAdActif!$D:$D,adProjIteration,PrdAdActif!$I:$I,"1.Perf")</f>
        <v>0</v>
      </c>
      <c r="H49" s="15">
        <f>SUMIFS(PrdAdActif!$R:$R,PrdAdActif!$B:$B,adProjChocS2,PrdAdActif!$C:$C,adProjScenario,PrdAdActif!$F:$F,adProjCdCanton,PrdAdActif!$D:$D,adProjIteration,PrdAdActif!$I:$I,"1.Perf")</f>
        <v>0</v>
      </c>
      <c r="I49" s="15">
        <f>SUMIFS(PrdAdActif!$R:$R,PrdAdActif!$B:$B,adProjChocS2,PrdAdActif!$C:$C,adProjScenario,PrdAdActif!$F:$F,adProjCdCanton,PrdAdActif!$D:$D,adProjIteration,PrdAdActif!$I:$I,"1.Perf")</f>
        <v>0</v>
      </c>
      <c r="J49" s="15">
        <f>SUMIFS(PrdAdActif!$R:$R,PrdAdActif!$B:$B,adProjChocS2,PrdAdActif!$C:$C,adProjScenario,PrdAdActif!$F:$F,adProjCdCanton,PrdAdActif!$D:$D,adProjIteration,PrdAdActif!$I:$I,"1.Perf")</f>
        <v>0</v>
      </c>
      <c r="K49" s="15">
        <f>SUMIFS(PrdAdActif!$R:$R,PrdAdActif!$B:$B,adProjChocS2,PrdAdActif!$C:$C,adProjScenario,PrdAdActif!$F:$F,adProjCdCanton,PrdAdActif!$D:$D,adProjIteration,PrdAdActif!$I:$I,"1.Perf")</f>
        <v>0</v>
      </c>
      <c r="L49" s="15">
        <f>SUMIFS(PrdAdActif!$R:$R,PrdAdActif!$B:$B,adProjChocS2,PrdAdActif!$C:$C,adProjScenario,PrdAdActif!$F:$F,adProjCdCanton,PrdAdActif!$D:$D,adProjIteration,PrdAdActif!$I:$I,"1.Perf")</f>
        <v>0</v>
      </c>
      <c r="M49" s="15">
        <f>SUMIFS(PrdAdActif!$R:$R,PrdAdActif!$B:$B,adProjChocS2,PrdAdActif!$C:$C,adProjScenario,PrdAdActif!$F:$F,adProjCdCanton,PrdAdActif!$D:$D,adProjIteration,PrdAdActif!$I:$I,"1.Perf")</f>
        <v>0</v>
      </c>
      <c r="N49" s="15">
        <f>SUMIFS(PrdAdActif!$R:$R,PrdAdActif!$B:$B,adProjChocS2,PrdAdActif!$C:$C,adProjScenario,PrdAdActif!$F:$F,adProjCdCanton,PrdAdActif!$D:$D,adProjIteration,PrdAdActif!$I:$I,"1.Perf")</f>
        <v>0</v>
      </c>
      <c r="O49" s="15">
        <f>SUMIFS(PrdAdActif!$R:$R,PrdAdActif!$B:$B,adProjChocS2,PrdAdActif!$C:$C,adProjScenario,PrdAdActif!$F:$F,adProjCdCanton,PrdAdActif!$D:$D,adProjIteration,PrdAdActif!$I:$I,"1.Perf")</f>
        <v>0</v>
      </c>
      <c r="P49" s="15">
        <f>SUMIFS(PrdAdActif!$R:$R,PrdAdActif!$B:$B,adProjChocS2,PrdAdActif!$C:$C,adProjScenario,PrdAdActif!$F:$F,adProjCdCanton,PrdAdActif!$D:$D,adProjIteration,PrdAdActif!$I:$I,"1.Perf")</f>
        <v>0</v>
      </c>
      <c r="Q49" s="15">
        <f>SUMIFS(PrdAdActif!$R:$R,PrdAdActif!$B:$B,adProjChocS2,PrdAdActif!$C:$C,adProjScenario,PrdAdActif!$F:$F,adProjCdCanton,PrdAdActif!$D:$D,adProjIteration,PrdAdActif!$I:$I,"1.Perf")</f>
        <v>0</v>
      </c>
      <c r="R49" s="15">
        <f>SUMIFS(PrdAdActif!$R:$R,PrdAdActif!$B:$B,adProjChocS2,PrdAdActif!$C:$C,adProjScenario,PrdAdActif!$F:$F,adProjCdCanton,PrdAdActif!$D:$D,adProjIteration,PrdAdActif!$I:$I,"1.Perf")</f>
        <v>0</v>
      </c>
      <c r="S49" s="15">
        <f>SUMIFS(PrdAdActif!$R:$R,PrdAdActif!$B:$B,adProjChocS2,PrdAdActif!$C:$C,adProjScenario,PrdAdActif!$F:$F,adProjCdCanton,PrdAdActif!$D:$D,adProjIteration,PrdAdActif!$I:$I,"1.Perf")</f>
        <v>0</v>
      </c>
      <c r="T49" s="15">
        <f>SUMIFS(PrdAdActif!$R:$R,PrdAdActif!$B:$B,adProjChocS2,PrdAdActif!$C:$C,adProjScenario,PrdAdActif!$F:$F,adProjCdCanton,PrdAdActif!$D:$D,adProjIteration,PrdAdActif!$I:$I,"1.Perf")</f>
        <v>0</v>
      </c>
      <c r="U49" s="15">
        <f>SUMIFS(PrdAdActif!$R:$R,PrdAdActif!$B:$B,adProjChocS2,PrdAdActif!$C:$C,adProjScenario,PrdAdActif!$F:$F,adProjCdCanton,PrdAdActif!$D:$D,adProjIteration,PrdAdActif!$I:$I,"1.Perf")</f>
        <v>0</v>
      </c>
      <c r="V49" s="15">
        <f>SUMIFS(PrdAdActif!$R:$R,PrdAdActif!$B:$B,adProjChocS2,PrdAdActif!$C:$C,adProjScenario,PrdAdActif!$F:$F,adProjCdCanton,PrdAdActif!$D:$D,adProjIteration,PrdAdActif!$I:$I,"1.Perf")</f>
        <v>0</v>
      </c>
      <c r="W49" s="15">
        <f>SUMIFS(PrdAdActif!$R:$R,PrdAdActif!$B:$B,adProjChocS2,PrdAdActif!$C:$C,adProjScenario,PrdAdActif!$F:$F,adProjCdCanton,PrdAdActif!$D:$D,adProjIteration,PrdAdActif!$I:$I,"1.Perf")</f>
        <v>0</v>
      </c>
      <c r="X49" s="15">
        <f>SUMIFS(PrdAdActif!$R:$R,PrdAdActif!$B:$B,adProjChocS2,PrdAdActif!$C:$C,adProjScenario,PrdAdActif!$F:$F,adProjCdCanton,PrdAdActif!$D:$D,adProjIteration,PrdAdActif!$I:$I,"1.Perf")</f>
        <v>0</v>
      </c>
      <c r="Y49" s="15">
        <f>SUMIFS(PrdAdActif!$R:$R,PrdAdActif!$B:$B,adProjChocS2,PrdAdActif!$C:$C,adProjScenario,PrdAdActif!$F:$F,adProjCdCanton,PrdAdActif!$D:$D,adProjIteration,PrdAdActif!$I:$I,"1.Perf")</f>
        <v>0</v>
      </c>
      <c r="Z49" s="15">
        <f>SUMIFS(PrdAdActif!$R:$R,PrdAdActif!$B:$B,adProjChocS2,PrdAdActif!$C:$C,adProjScenario,PrdAdActif!$F:$F,adProjCdCanton,PrdAdActif!$D:$D,adProjIteration,PrdAdActif!$I:$I,"1.Perf")</f>
        <v>0</v>
      </c>
      <c r="AA49" s="15">
        <f>SUMIFS(PrdAdActif!$R:$R,PrdAdActif!$B:$B,adProjChocS2,PrdAdActif!$C:$C,adProjScenario,PrdAdActif!$F:$F,adProjCdCanton,PrdAdActif!$D:$D,adProjIteration,PrdAdActif!$I:$I,"1.Perf")</f>
        <v>0</v>
      </c>
      <c r="AB49" s="15">
        <f>SUMIFS(PrdAdActif!$R:$R,PrdAdActif!$B:$B,adProjChocS2,PrdAdActif!$C:$C,adProjScenario,PrdAdActif!$F:$F,adProjCdCanton,PrdAdActif!$D:$D,adProjIteration,PrdAdActif!$I:$I,"1.Perf")</f>
        <v>0</v>
      </c>
      <c r="AC49" s="15">
        <f>SUMIFS(PrdAdActif!$R:$R,PrdAdActif!$B:$B,adProjChocS2,PrdAdActif!$C:$C,adProjScenario,PrdAdActif!$F:$F,adProjCdCanton,PrdAdActif!$D:$D,adProjIteration,PrdAdActif!$I:$I,"1.Perf")</f>
        <v>0</v>
      </c>
      <c r="AD49" s="15">
        <f>SUMIFS(PrdAdActif!$R:$R,PrdAdActif!$B:$B,adProjChocS2,PrdAdActif!$C:$C,adProjScenario,PrdAdActif!$F:$F,adProjCdCanton,PrdAdActif!$D:$D,adProjIteration,PrdAdActif!$I:$I,"1.Perf")</f>
        <v>0</v>
      </c>
      <c r="AE49" s="15">
        <f>SUMIFS(PrdAdActif!$R:$R,PrdAdActif!$B:$B,adProjChocS2,PrdAdActif!$C:$C,adProjScenario,PrdAdActif!$F:$F,adProjCdCanton,PrdAdActif!$D:$D,adProjIteration,PrdAdActif!$I:$I,"1.Perf")</f>
        <v>0</v>
      </c>
      <c r="AF49" s="15">
        <f>SUMIFS(PrdAdActif!$R:$R,PrdAdActif!$B:$B,adProjChocS2,PrdAdActif!$C:$C,adProjScenario,PrdAdActif!$F:$F,adProjCdCanton,PrdAdActif!$D:$D,adProjIteration,PrdAdActif!$I:$I,"1.Perf")</f>
        <v>0</v>
      </c>
      <c r="AG49" s="15">
        <f>SUMIFS(PrdAdActif!$R:$R,PrdAdActif!$B:$B,adProjChocS2,PrdAdActif!$C:$C,adProjScenario,PrdAdActif!$F:$F,adProjCdCanton,PrdAdActif!$D:$D,adProjIteration,PrdAdActif!$I:$I,"1.Perf")</f>
        <v>0</v>
      </c>
      <c r="AH49" s="15">
        <f>SUMIFS(PrdAdActif!$R:$R,PrdAdActif!$B:$B,adProjChocS2,PrdAdActif!$C:$C,adProjScenario,PrdAdActif!$F:$F,adProjCdCanton,PrdAdActif!$D:$D,adProjIteration,PrdAdActif!$I:$I,"1.Perf")</f>
        <v>0</v>
      </c>
      <c r="AI49" s="15">
        <f>SUMIFS(PrdAdActif!$R:$R,PrdAdActif!$B:$B,adProjChocS2,PrdAdActif!$C:$C,adProjScenario,PrdAdActif!$F:$F,adProjCdCanton,PrdAdActif!$D:$D,adProjIteration,PrdAdActif!$I:$I,"1.Perf")</f>
        <v>0</v>
      </c>
      <c r="AJ49" s="15">
        <f>SUMIFS(PrdAdActif!$R:$R,PrdAdActif!$B:$B,adProjChocS2,PrdAdActif!$C:$C,adProjScenario,PrdAdActif!$F:$F,adProjCdCanton,PrdAdActif!$D:$D,adProjIteration,PrdAdActif!$I:$I,"1.Perf")</f>
        <v>0</v>
      </c>
      <c r="AK49" s="15">
        <f>SUMIFS(PrdAdActif!$R:$R,PrdAdActif!$B:$B,adProjChocS2,PrdAdActif!$C:$C,adProjScenario,PrdAdActif!$F:$F,adProjCdCanton,PrdAdActif!$D:$D,adProjIteration,PrdAdActif!$I:$I,"1.Perf")</f>
        <v>0</v>
      </c>
      <c r="AL49" s="15">
        <f>SUMIFS(PrdAdActif!$R:$R,PrdAdActif!$B:$B,adProjChocS2,PrdAdActif!$C:$C,adProjScenario,PrdAdActif!$F:$F,adProjCdCanton,PrdAdActif!$D:$D,adProjIteration,PrdAdActif!$I:$I,"1.Perf")</f>
        <v>0</v>
      </c>
      <c r="AM49" s="15">
        <f>SUMIFS(PrdAdActif!$R:$R,PrdAdActif!$B:$B,adProjChocS2,PrdAdActif!$C:$C,adProjScenario,PrdAdActif!$F:$F,adProjCdCanton,PrdAdActif!$D:$D,adProjIteration,PrdAdActif!$I:$I,"1.Perf")</f>
        <v>0</v>
      </c>
      <c r="AN49" s="15">
        <f>SUMIFS(PrdAdActif!$R:$R,PrdAdActif!$B:$B,adProjChocS2,PrdAdActif!$C:$C,adProjScenario,PrdAdActif!$F:$F,adProjCdCanton,PrdAdActif!$D:$D,adProjIteration,PrdAdActif!$I:$I,"1.Perf")</f>
        <v>0</v>
      </c>
      <c r="AO49" s="15">
        <f>SUMIFS(PrdAdActif!$R:$R,PrdAdActif!$B:$B,adProjChocS2,PrdAdActif!$C:$C,adProjScenario,PrdAdActif!$F:$F,adProjCdCanton,PrdAdActif!$D:$D,adProjIteration,PrdAdActif!$I:$I,"1.Perf")</f>
        <v>0</v>
      </c>
      <c r="AP49" s="15">
        <f>SUMIFS(PrdAdActif!$R:$R,PrdAdActif!$B:$B,adProjChocS2,PrdAdActif!$C:$C,adProjScenario,PrdAdActif!$F:$F,adProjCdCanton,PrdAdActif!$D:$D,adProjIteration,PrdAdActif!$I:$I,"1.Perf")</f>
        <v>0</v>
      </c>
      <c r="AQ49" s="15">
        <f>SUMIFS(PrdAdActif!$R:$R,PrdAdActif!$B:$B,adProjChocS2,PrdAdActif!$C:$C,adProjScenario,PrdAdActif!$F:$F,adProjCdCanton,PrdAdActif!$D:$D,adProjIteration,PrdAdActif!$I:$I,"1.Perf")</f>
        <v>0</v>
      </c>
      <c r="AR49" s="15">
        <f>SUMIFS(PrdAdActif!$R:$R,PrdAdActif!$B:$B,adProjChocS2,PrdAdActif!$C:$C,adProjScenario,PrdAdActif!$F:$F,adProjCdCanton,PrdAdActif!$D:$D,adProjIteration,PrdAdActif!$I:$I,"1.Perf")</f>
        <v>0</v>
      </c>
      <c r="AS49" s="15">
        <f>SUMIFS(PrdAdActif!$R:$R,PrdAdActif!$B:$B,adProjChocS2,PrdAdActif!$C:$C,adProjScenario,PrdAdActif!$F:$F,adProjCdCanton,PrdAdActif!$D:$D,adProjIteration,PrdAdActif!$I:$I,"1.Perf")</f>
        <v>0</v>
      </c>
      <c r="AT49" s="15">
        <f>SUMIFS(PrdAdActif!$R:$R,PrdAdActif!$B:$B,adProjChocS2,PrdAdActif!$C:$C,adProjScenario,PrdAdActif!$F:$F,adProjCdCanton,PrdAdActif!$D:$D,adProjIteration,PrdAdActif!$I:$I,"1.Perf")</f>
        <v>0</v>
      </c>
      <c r="AU49" s="15">
        <f>SUMIFS(PrdAdActif!$R:$R,PrdAdActif!$B:$B,adProjChocS2,PrdAdActif!$C:$C,adProjScenario,PrdAdActif!$F:$F,adProjCdCanton,PrdAdActif!$D:$D,adProjIteration,PrdAdActif!$I:$I,"1.Perf")</f>
        <v>0</v>
      </c>
      <c r="AV49" s="15">
        <f>SUMIFS(PrdAdActif!$R:$R,PrdAdActif!$B:$B,adProjChocS2,PrdAdActif!$C:$C,adProjScenario,PrdAdActif!$F:$F,adProjCdCanton,PrdAdActif!$D:$D,adProjIteration,PrdAdActif!$I:$I,"1.Perf")</f>
        <v>0</v>
      </c>
      <c r="AW49" s="15">
        <f>SUMIFS(PrdAdActif!$R:$R,PrdAdActif!$B:$B,adProjChocS2,PrdAdActif!$C:$C,adProjScenario,PrdAdActif!$F:$F,adProjCdCanton,PrdAdActif!$D:$D,adProjIteration,PrdAdActif!$I:$I,"1.Perf")</f>
        <v>0</v>
      </c>
      <c r="AX49" s="15">
        <f>SUMIFS(PrdAdActif!$R:$R,PrdAdActif!$B:$B,adProjChocS2,PrdAdActif!$C:$C,adProjScenario,PrdAdActif!$F:$F,adProjCdCanton,PrdAdActif!$D:$D,adProjIteration,PrdAdActif!$I:$I,"1.Perf")</f>
        <v>0</v>
      </c>
      <c r="AY49" s="15">
        <f>SUMIFS(PrdAdActif!$R:$R,PrdAdActif!$B:$B,adProjChocS2,PrdAdActif!$C:$C,adProjScenario,PrdAdActif!$F:$F,adProjCdCanton,PrdAdActif!$D:$D,adProjIteration,PrdAdActif!$I:$I,"1.Perf")</f>
        <v>0</v>
      </c>
      <c r="AZ49" s="15">
        <f>SUMIFS(PrdAdActif!$R:$R,PrdAdActif!$B:$B,adProjChocS2,PrdAdActif!$C:$C,adProjScenario,PrdAdActif!$F:$F,adProjCdCanton,PrdAdActif!$D:$D,adProjIteration,PrdAdActif!$I:$I,"1.Perf")</f>
        <v>0</v>
      </c>
      <c r="BA49" s="15">
        <f>SUMIFS(PrdAdActif!$R:$R,PrdAdActif!$B:$B,adProjChocS2,PrdAdActif!$C:$C,adProjScenario,PrdAdActif!$F:$F,adProjCdCanton,PrdAdActif!$D:$D,adProjIteration,PrdAdActif!$I:$I,"1.Perf")</f>
        <v>0</v>
      </c>
      <c r="BB49" s="15">
        <f>SUMIFS(PrdAdActif!$R:$R,PrdAdActif!$B:$B,adProjChocS2,PrdAdActif!$C:$C,adProjScenario,PrdAdActif!$F:$F,adProjCdCanton,PrdAdActif!$D:$D,adProjIteration,PrdAdActif!$I:$I,"1.Perf")</f>
        <v>0</v>
      </c>
    </row>
    <row r="50" spans="2:54" ht="16.5" x14ac:dyDescent="0.3">
      <c r="B50" s="17"/>
      <c r="C50" s="14" t="s">
        <v>42</v>
      </c>
      <c r="D50" s="15"/>
      <c r="E50" s="22" t="e">
        <f>SUMIFS(#REF!,#REF!,adProjChocS2Gse,#REF!,adProjIteration,#REF!,"Beg")</f>
        <v>#REF!</v>
      </c>
      <c r="F50" s="22" t="e">
        <f>SUMIFS(#REF!,#REF!,adProjChocS2Gse,#REF!,adProjIteration,#REF!,"Beg")</f>
        <v>#REF!</v>
      </c>
      <c r="G50" s="22" t="e">
        <f>SUMIFS(#REF!,#REF!,adProjChocS2Gse,#REF!,adProjIteration,#REF!,"Beg")</f>
        <v>#REF!</v>
      </c>
      <c r="H50" s="22" t="e">
        <f>SUMIFS(#REF!,#REF!,adProjChocS2Gse,#REF!,adProjIteration,#REF!,"Beg")</f>
        <v>#REF!</v>
      </c>
      <c r="I50" s="22" t="e">
        <f>SUMIFS(#REF!,#REF!,adProjChocS2Gse,#REF!,adProjIteration,#REF!,"Beg")</f>
        <v>#REF!</v>
      </c>
      <c r="J50" s="22" t="e">
        <f>SUMIFS(#REF!,#REF!,adProjChocS2Gse,#REF!,adProjIteration,#REF!,"Beg")</f>
        <v>#REF!</v>
      </c>
      <c r="K50" s="22" t="e">
        <f>SUMIFS(#REF!,#REF!,adProjChocS2Gse,#REF!,adProjIteration,#REF!,"Beg")</f>
        <v>#REF!</v>
      </c>
      <c r="L50" s="22" t="e">
        <f>SUMIFS(#REF!,#REF!,adProjChocS2Gse,#REF!,adProjIteration,#REF!,"Beg")</f>
        <v>#REF!</v>
      </c>
      <c r="M50" s="22" t="e">
        <f>SUMIFS(#REF!,#REF!,adProjChocS2Gse,#REF!,adProjIteration,#REF!,"Beg")</f>
        <v>#REF!</v>
      </c>
      <c r="N50" s="22" t="e">
        <f>SUMIFS(#REF!,#REF!,adProjChocS2Gse,#REF!,adProjIteration,#REF!,"Beg")</f>
        <v>#REF!</v>
      </c>
      <c r="O50" s="22" t="e">
        <f>SUMIFS(#REF!,#REF!,adProjChocS2Gse,#REF!,adProjIteration,#REF!,"Beg")</f>
        <v>#REF!</v>
      </c>
      <c r="P50" s="22" t="e">
        <f>SUMIFS(#REF!,#REF!,adProjChocS2Gse,#REF!,adProjIteration,#REF!,"Beg")</f>
        <v>#REF!</v>
      </c>
      <c r="Q50" s="22" t="e">
        <f>SUMIFS(#REF!,#REF!,adProjChocS2Gse,#REF!,adProjIteration,#REF!,"Beg")</f>
        <v>#REF!</v>
      </c>
      <c r="R50" s="22" t="e">
        <f>SUMIFS(#REF!,#REF!,adProjChocS2Gse,#REF!,adProjIteration,#REF!,"Beg")</f>
        <v>#REF!</v>
      </c>
      <c r="S50" s="22" t="e">
        <f>SUMIFS(#REF!,#REF!,adProjChocS2Gse,#REF!,adProjIteration,#REF!,"Beg")</f>
        <v>#REF!</v>
      </c>
      <c r="T50" s="22" t="e">
        <f>SUMIFS(#REF!,#REF!,adProjChocS2Gse,#REF!,adProjIteration,#REF!,"Beg")</f>
        <v>#REF!</v>
      </c>
      <c r="U50" s="22" t="e">
        <f>SUMIFS(#REF!,#REF!,adProjChocS2Gse,#REF!,adProjIteration,#REF!,"Beg")</f>
        <v>#REF!</v>
      </c>
      <c r="V50" s="22" t="e">
        <f>SUMIFS(#REF!,#REF!,adProjChocS2Gse,#REF!,adProjIteration,#REF!,"Beg")</f>
        <v>#REF!</v>
      </c>
      <c r="W50" s="22" t="e">
        <f>SUMIFS(#REF!,#REF!,adProjChocS2Gse,#REF!,adProjIteration,#REF!,"Beg")</f>
        <v>#REF!</v>
      </c>
      <c r="X50" s="22" t="e">
        <f>SUMIFS(#REF!,#REF!,adProjChocS2Gse,#REF!,adProjIteration,#REF!,"Beg")</f>
        <v>#REF!</v>
      </c>
      <c r="Y50" s="22" t="e">
        <f>SUMIFS(#REF!,#REF!,adProjChocS2Gse,#REF!,adProjIteration,#REF!,"Beg")</f>
        <v>#REF!</v>
      </c>
      <c r="Z50" s="22" t="e">
        <f>SUMIFS(#REF!,#REF!,adProjChocS2Gse,#REF!,adProjIteration,#REF!,"Beg")</f>
        <v>#REF!</v>
      </c>
      <c r="AA50" s="22" t="e">
        <f>SUMIFS(#REF!,#REF!,adProjChocS2Gse,#REF!,adProjIteration,#REF!,"Beg")</f>
        <v>#REF!</v>
      </c>
      <c r="AB50" s="22" t="e">
        <f>SUMIFS(#REF!,#REF!,adProjChocS2Gse,#REF!,adProjIteration,#REF!,"Beg")</f>
        <v>#REF!</v>
      </c>
      <c r="AC50" s="22" t="e">
        <f>SUMIFS(#REF!,#REF!,adProjChocS2Gse,#REF!,adProjIteration,#REF!,"Beg")</f>
        <v>#REF!</v>
      </c>
      <c r="AD50" s="22" t="e">
        <f>SUMIFS(#REF!,#REF!,adProjChocS2Gse,#REF!,adProjIteration,#REF!,"Beg")</f>
        <v>#REF!</v>
      </c>
      <c r="AE50" s="22" t="e">
        <f>SUMIFS(#REF!,#REF!,adProjChocS2Gse,#REF!,adProjIteration,#REF!,"Beg")</f>
        <v>#REF!</v>
      </c>
      <c r="AF50" s="22" t="e">
        <f>SUMIFS(#REF!,#REF!,adProjChocS2Gse,#REF!,adProjIteration,#REF!,"Beg")</f>
        <v>#REF!</v>
      </c>
      <c r="AG50" s="22" t="e">
        <f>SUMIFS(#REF!,#REF!,adProjChocS2Gse,#REF!,adProjIteration,#REF!,"Beg")</f>
        <v>#REF!</v>
      </c>
      <c r="AH50" s="22" t="e">
        <f>SUMIFS(#REF!,#REF!,adProjChocS2Gse,#REF!,adProjIteration,#REF!,"Beg")</f>
        <v>#REF!</v>
      </c>
      <c r="AI50" s="22" t="e">
        <f>SUMIFS(#REF!,#REF!,adProjChocS2Gse,#REF!,adProjIteration,#REF!,"Beg")</f>
        <v>#REF!</v>
      </c>
      <c r="AJ50" s="22" t="e">
        <f>SUMIFS(#REF!,#REF!,adProjChocS2Gse,#REF!,adProjIteration,#REF!,"Beg")</f>
        <v>#REF!</v>
      </c>
      <c r="AK50" s="22" t="e">
        <f>SUMIFS(#REF!,#REF!,adProjChocS2Gse,#REF!,adProjIteration,#REF!,"Beg")</f>
        <v>#REF!</v>
      </c>
      <c r="AL50" s="22" t="e">
        <f>SUMIFS(#REF!,#REF!,adProjChocS2Gse,#REF!,adProjIteration,#REF!,"Beg")</f>
        <v>#REF!</v>
      </c>
      <c r="AM50" s="22" t="e">
        <f>SUMIFS(#REF!,#REF!,adProjChocS2Gse,#REF!,adProjIteration,#REF!,"Beg")</f>
        <v>#REF!</v>
      </c>
      <c r="AN50" s="22" t="e">
        <f>SUMIFS(#REF!,#REF!,adProjChocS2Gse,#REF!,adProjIteration,#REF!,"Beg")</f>
        <v>#REF!</v>
      </c>
      <c r="AO50" s="22" t="e">
        <f>SUMIFS(#REF!,#REF!,adProjChocS2Gse,#REF!,adProjIteration,#REF!,"Beg")</f>
        <v>#REF!</v>
      </c>
      <c r="AP50" s="22" t="e">
        <f>SUMIFS(#REF!,#REF!,adProjChocS2Gse,#REF!,adProjIteration,#REF!,"Beg")</f>
        <v>#REF!</v>
      </c>
      <c r="AQ50" s="22" t="e">
        <f>SUMIFS(#REF!,#REF!,adProjChocS2Gse,#REF!,adProjIteration,#REF!,"Beg")</f>
        <v>#REF!</v>
      </c>
      <c r="AR50" s="22" t="e">
        <f>SUMIFS(#REF!,#REF!,adProjChocS2Gse,#REF!,adProjIteration,#REF!,"Beg")</f>
        <v>#REF!</v>
      </c>
      <c r="AS50" s="22" t="e">
        <f>SUMIFS(#REF!,#REF!,adProjChocS2Gse,#REF!,adProjIteration,#REF!,"Beg")</f>
        <v>#REF!</v>
      </c>
      <c r="AT50" s="22" t="e">
        <f>SUMIFS(#REF!,#REF!,adProjChocS2Gse,#REF!,adProjIteration,#REF!,"Beg")</f>
        <v>#REF!</v>
      </c>
      <c r="AU50" s="22" t="e">
        <f>SUMIFS(#REF!,#REF!,adProjChocS2Gse,#REF!,adProjIteration,#REF!,"Beg")</f>
        <v>#REF!</v>
      </c>
      <c r="AV50" s="22" t="e">
        <f>SUMIFS(#REF!,#REF!,adProjChocS2Gse,#REF!,adProjIteration,#REF!,"Beg")</f>
        <v>#REF!</v>
      </c>
      <c r="AW50" s="22" t="e">
        <f>SUMIFS(#REF!,#REF!,adProjChocS2Gse,#REF!,adProjIteration,#REF!,"Beg")</f>
        <v>#REF!</v>
      </c>
      <c r="AX50" s="22" t="e">
        <f>SUMIFS(#REF!,#REF!,adProjChocS2Gse,#REF!,adProjIteration,#REF!,"Beg")</f>
        <v>#REF!</v>
      </c>
      <c r="AY50" s="22" t="e">
        <f>SUMIFS(#REF!,#REF!,adProjChocS2Gse,#REF!,adProjIteration,#REF!,"Beg")</f>
        <v>#REF!</v>
      </c>
      <c r="AZ50" s="22" t="e">
        <f>SUMIFS(#REF!,#REF!,adProjChocS2Gse,#REF!,adProjIteration,#REF!,"Beg")</f>
        <v>#REF!</v>
      </c>
      <c r="BA50" s="22" t="e">
        <f>SUMIFS(#REF!,#REF!,adProjChocS2Gse,#REF!,adProjIteration,#REF!,"Beg")</f>
        <v>#REF!</v>
      </c>
      <c r="BB50" s="22" t="e">
        <f>SUMIFS(#REF!,#REF!,adProjChocS2Gse,#REF!,adProjIteration,#REF!,"Beg")</f>
        <v>#REF!</v>
      </c>
    </row>
    <row r="51" spans="2:54" ht="16.5" x14ac:dyDescent="0.3">
      <c r="B51" s="17"/>
      <c r="C51" s="14" t="s">
        <v>43</v>
      </c>
      <c r="D51" s="15"/>
      <c r="E51" s="15" t="e">
        <f>IF(adProjIteration&lt;=adProjHorizon,IF(adProjCdCanton&lt;&gt;"Fond_UC",adVmPerfTot-(adVmFinTotPrec-adPrstTotNet-adPrstTotChgt)*E50,adPmPerf-(adPmDebut-adPrstTotNet-adPrstTotChgt)*E50),0)</f>
        <v>#REF!</v>
      </c>
      <c r="F51" s="15" t="e">
        <f>IF(adProjIteration&lt;=adProjHorizon,IF(adProjCdCanton&lt;&gt;"Fond_UC",adVmPerfTot-(adVmFinTotPrec-adPrstTotNet-adPrstTotChgt)*F50,adPmPerf-(adPmDebut-adPrstTotNet-adPrstTotChgt)*F50),0)</f>
        <v>#REF!</v>
      </c>
      <c r="G51" s="15">
        <f t="shared" ref="G51:AJ51" si="12">IF(adProjIteration&lt;=adProjHorizon,adVmPerfTot-(adVmFinTotPrec-adPrstTotNet-adPrstTotChgt)*G50,0)</f>
        <v>0</v>
      </c>
      <c r="H51" s="15">
        <f t="shared" si="12"/>
        <v>0</v>
      </c>
      <c r="I51" s="15">
        <f t="shared" si="12"/>
        <v>0</v>
      </c>
      <c r="J51" s="15">
        <f t="shared" si="12"/>
        <v>0</v>
      </c>
      <c r="K51" s="15">
        <f t="shared" si="12"/>
        <v>0</v>
      </c>
      <c r="L51" s="15">
        <f t="shared" si="12"/>
        <v>0</v>
      </c>
      <c r="M51" s="15">
        <f t="shared" si="12"/>
        <v>0</v>
      </c>
      <c r="N51" s="15">
        <f t="shared" si="12"/>
        <v>0</v>
      </c>
      <c r="O51" s="15">
        <f t="shared" si="12"/>
        <v>0</v>
      </c>
      <c r="P51" s="15">
        <f t="shared" si="12"/>
        <v>0</v>
      </c>
      <c r="Q51" s="15">
        <f t="shared" si="12"/>
        <v>0</v>
      </c>
      <c r="R51" s="15">
        <f t="shared" si="12"/>
        <v>0</v>
      </c>
      <c r="S51" s="15">
        <f t="shared" si="12"/>
        <v>0</v>
      </c>
      <c r="T51" s="15">
        <f t="shared" si="12"/>
        <v>0</v>
      </c>
      <c r="U51" s="15">
        <f t="shared" si="12"/>
        <v>0</v>
      </c>
      <c r="V51" s="15">
        <f t="shared" si="12"/>
        <v>0</v>
      </c>
      <c r="W51" s="15">
        <f t="shared" si="12"/>
        <v>0</v>
      </c>
      <c r="X51" s="15">
        <f t="shared" si="12"/>
        <v>0</v>
      </c>
      <c r="Y51" s="15">
        <f t="shared" si="12"/>
        <v>0</v>
      </c>
      <c r="Z51" s="15">
        <f t="shared" si="12"/>
        <v>0</v>
      </c>
      <c r="AA51" s="15">
        <f t="shared" si="12"/>
        <v>0</v>
      </c>
      <c r="AB51" s="15">
        <f t="shared" si="12"/>
        <v>0</v>
      </c>
      <c r="AC51" s="15">
        <f t="shared" si="12"/>
        <v>0</v>
      </c>
      <c r="AD51" s="15">
        <f t="shared" si="12"/>
        <v>0</v>
      </c>
      <c r="AE51" s="15">
        <f t="shared" si="12"/>
        <v>0</v>
      </c>
      <c r="AF51" s="15">
        <f t="shared" si="12"/>
        <v>0</v>
      </c>
      <c r="AG51" s="15">
        <f t="shared" si="12"/>
        <v>0</v>
      </c>
      <c r="AH51" s="15">
        <f t="shared" si="12"/>
        <v>0</v>
      </c>
      <c r="AI51" s="15">
        <f t="shared" si="12"/>
        <v>0</v>
      </c>
      <c r="AJ51" s="15">
        <f t="shared" si="12"/>
        <v>0</v>
      </c>
      <c r="AK51" s="15">
        <f t="shared" ref="AK51:BB51" si="13">IF(adProjIteration&lt;=adProjHorizon,adVmPerfTot-(adVmFinTotPrec-adPrstTotNet-adPrstTotChgt)*AK50,0)</f>
        <v>0</v>
      </c>
      <c r="AL51" s="15">
        <f t="shared" si="13"/>
        <v>0</v>
      </c>
      <c r="AM51" s="15">
        <f t="shared" si="13"/>
        <v>0</v>
      </c>
      <c r="AN51" s="15">
        <f t="shared" si="13"/>
        <v>0</v>
      </c>
      <c r="AO51" s="15">
        <f t="shared" si="13"/>
        <v>0</v>
      </c>
      <c r="AP51" s="15">
        <f t="shared" si="13"/>
        <v>0</v>
      </c>
      <c r="AQ51" s="15">
        <f t="shared" si="13"/>
        <v>0</v>
      </c>
      <c r="AR51" s="15">
        <f t="shared" si="13"/>
        <v>0</v>
      </c>
      <c r="AS51" s="15">
        <f t="shared" si="13"/>
        <v>0</v>
      </c>
      <c r="AT51" s="15">
        <f t="shared" si="13"/>
        <v>0</v>
      </c>
      <c r="AU51" s="15">
        <f t="shared" si="13"/>
        <v>0</v>
      </c>
      <c r="AV51" s="15">
        <f t="shared" si="13"/>
        <v>0</v>
      </c>
      <c r="AW51" s="15">
        <f t="shared" si="13"/>
        <v>0</v>
      </c>
      <c r="AX51" s="15">
        <f t="shared" si="13"/>
        <v>0</v>
      </c>
      <c r="AY51" s="15">
        <f t="shared" si="13"/>
        <v>0</v>
      </c>
      <c r="AZ51" s="15">
        <f t="shared" si="13"/>
        <v>0</v>
      </c>
      <c r="BA51" s="15">
        <f t="shared" si="13"/>
        <v>0</v>
      </c>
      <c r="BB51" s="15">
        <f t="shared" si="13"/>
        <v>0</v>
      </c>
    </row>
    <row r="52" spans="2:54" ht="16.5" x14ac:dyDescent="0.3">
      <c r="B52" s="17"/>
      <c r="C52" s="19" t="s">
        <v>44</v>
      </c>
      <c r="D52" s="20" t="b">
        <f>AND(E52:BB52)</f>
        <v>1</v>
      </c>
      <c r="E52" s="21" t="b">
        <f t="shared" ref="E52:AJ52" si="14">IF(adProjCdCanton&lt;&gt;"Fond_UC",ABS(E51-E49)&lt;1,TRUE)</f>
        <v>1</v>
      </c>
      <c r="F52" s="21" t="b">
        <f t="shared" si="14"/>
        <v>1</v>
      </c>
      <c r="G52" s="21" t="b">
        <f t="shared" si="14"/>
        <v>1</v>
      </c>
      <c r="H52" s="21" t="b">
        <f t="shared" si="14"/>
        <v>1</v>
      </c>
      <c r="I52" s="21" t="b">
        <f t="shared" si="14"/>
        <v>1</v>
      </c>
      <c r="J52" s="21" t="b">
        <f t="shared" si="14"/>
        <v>1</v>
      </c>
      <c r="K52" s="21" t="b">
        <f t="shared" si="14"/>
        <v>1</v>
      </c>
      <c r="L52" s="21" t="b">
        <f t="shared" si="14"/>
        <v>1</v>
      </c>
      <c r="M52" s="21" t="b">
        <f t="shared" si="14"/>
        <v>1</v>
      </c>
      <c r="N52" s="21" t="b">
        <f t="shared" si="14"/>
        <v>1</v>
      </c>
      <c r="O52" s="21" t="b">
        <f t="shared" si="14"/>
        <v>1</v>
      </c>
      <c r="P52" s="21" t="b">
        <f t="shared" si="14"/>
        <v>1</v>
      </c>
      <c r="Q52" s="21" t="b">
        <f t="shared" si="14"/>
        <v>1</v>
      </c>
      <c r="R52" s="21" t="b">
        <f t="shared" si="14"/>
        <v>1</v>
      </c>
      <c r="S52" s="21" t="b">
        <f t="shared" si="14"/>
        <v>1</v>
      </c>
      <c r="T52" s="21" t="b">
        <f t="shared" si="14"/>
        <v>1</v>
      </c>
      <c r="U52" s="21" t="b">
        <f t="shared" si="14"/>
        <v>1</v>
      </c>
      <c r="V52" s="21" t="b">
        <f t="shared" si="14"/>
        <v>1</v>
      </c>
      <c r="W52" s="21" t="b">
        <f t="shared" si="14"/>
        <v>1</v>
      </c>
      <c r="X52" s="21" t="b">
        <f t="shared" si="14"/>
        <v>1</v>
      </c>
      <c r="Y52" s="21" t="b">
        <f t="shared" si="14"/>
        <v>1</v>
      </c>
      <c r="Z52" s="21" t="b">
        <f t="shared" si="14"/>
        <v>1</v>
      </c>
      <c r="AA52" s="21" t="b">
        <f t="shared" si="14"/>
        <v>1</v>
      </c>
      <c r="AB52" s="21" t="b">
        <f t="shared" si="14"/>
        <v>1</v>
      </c>
      <c r="AC52" s="21" t="b">
        <f t="shared" si="14"/>
        <v>1</v>
      </c>
      <c r="AD52" s="21" t="b">
        <f t="shared" si="14"/>
        <v>1</v>
      </c>
      <c r="AE52" s="21" t="b">
        <f t="shared" si="14"/>
        <v>1</v>
      </c>
      <c r="AF52" s="21" t="b">
        <f t="shared" si="14"/>
        <v>1</v>
      </c>
      <c r="AG52" s="21" t="b">
        <f t="shared" si="14"/>
        <v>1</v>
      </c>
      <c r="AH52" s="21" t="b">
        <f t="shared" si="14"/>
        <v>1</v>
      </c>
      <c r="AI52" s="21" t="b">
        <f t="shared" si="14"/>
        <v>1</v>
      </c>
      <c r="AJ52" s="21" t="b">
        <f t="shared" si="14"/>
        <v>1</v>
      </c>
      <c r="AK52" s="21" t="b">
        <f t="shared" ref="AK52:BB52" si="15">IF(adProjCdCanton&lt;&gt;"Fond_UC",ABS(AK51-AK49)&lt;1,TRUE)</f>
        <v>1</v>
      </c>
      <c r="AL52" s="21" t="b">
        <f t="shared" si="15"/>
        <v>1</v>
      </c>
      <c r="AM52" s="21" t="b">
        <f t="shared" si="15"/>
        <v>1</v>
      </c>
      <c r="AN52" s="21" t="b">
        <f t="shared" si="15"/>
        <v>1</v>
      </c>
      <c r="AO52" s="21" t="b">
        <f t="shared" si="15"/>
        <v>1</v>
      </c>
      <c r="AP52" s="21" t="b">
        <f t="shared" si="15"/>
        <v>1</v>
      </c>
      <c r="AQ52" s="21" t="b">
        <f t="shared" si="15"/>
        <v>1</v>
      </c>
      <c r="AR52" s="21" t="b">
        <f t="shared" si="15"/>
        <v>1</v>
      </c>
      <c r="AS52" s="21" t="b">
        <f t="shared" si="15"/>
        <v>1</v>
      </c>
      <c r="AT52" s="21" t="b">
        <f t="shared" si="15"/>
        <v>1</v>
      </c>
      <c r="AU52" s="21" t="b">
        <f t="shared" si="15"/>
        <v>1</v>
      </c>
      <c r="AV52" s="21" t="b">
        <f t="shared" si="15"/>
        <v>1</v>
      </c>
      <c r="AW52" s="21" t="b">
        <f t="shared" si="15"/>
        <v>1</v>
      </c>
      <c r="AX52" s="21" t="b">
        <f t="shared" si="15"/>
        <v>1</v>
      </c>
      <c r="AY52" s="21" t="b">
        <f t="shared" si="15"/>
        <v>1</v>
      </c>
      <c r="AZ52" s="21" t="b">
        <f t="shared" si="15"/>
        <v>1</v>
      </c>
      <c r="BA52" s="21" t="b">
        <f t="shared" si="15"/>
        <v>1</v>
      </c>
      <c r="BB52" s="21" t="b">
        <f t="shared" si="15"/>
        <v>1</v>
      </c>
    </row>
    <row r="53" spans="2:54" ht="16.5" x14ac:dyDescent="0.3">
      <c r="B53" s="17"/>
      <c r="C53" s="19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2:54" ht="16.5" x14ac:dyDescent="0.3">
      <c r="B54" s="17"/>
      <c r="C54" s="14" t="s">
        <v>45</v>
      </c>
      <c r="D54" s="21"/>
      <c r="E54" s="21">
        <f>E43-E13</f>
        <v>0</v>
      </c>
      <c r="F54" s="21">
        <f t="shared" ref="F54:BB54" si="16">F43-F13</f>
        <v>0</v>
      </c>
      <c r="G54" s="21">
        <f t="shared" si="16"/>
        <v>0</v>
      </c>
      <c r="H54" s="21">
        <f t="shared" si="16"/>
        <v>0</v>
      </c>
      <c r="I54" s="21">
        <f t="shared" si="16"/>
        <v>0</v>
      </c>
      <c r="J54" s="21">
        <f t="shared" si="16"/>
        <v>0</v>
      </c>
      <c r="K54" s="21">
        <f t="shared" si="16"/>
        <v>0</v>
      </c>
      <c r="L54" s="21">
        <f t="shared" si="16"/>
        <v>0</v>
      </c>
      <c r="M54" s="21">
        <f t="shared" si="16"/>
        <v>0</v>
      </c>
      <c r="N54" s="21">
        <f t="shared" si="16"/>
        <v>0</v>
      </c>
      <c r="O54" s="21">
        <f t="shared" si="16"/>
        <v>0</v>
      </c>
      <c r="P54" s="21">
        <f t="shared" si="16"/>
        <v>0</v>
      </c>
      <c r="Q54" s="21">
        <f t="shared" si="16"/>
        <v>0</v>
      </c>
      <c r="R54" s="21">
        <f t="shared" si="16"/>
        <v>0</v>
      </c>
      <c r="S54" s="21">
        <f t="shared" si="16"/>
        <v>0</v>
      </c>
      <c r="T54" s="21">
        <f t="shared" si="16"/>
        <v>0</v>
      </c>
      <c r="U54" s="21">
        <f t="shared" si="16"/>
        <v>0</v>
      </c>
      <c r="V54" s="21">
        <f t="shared" si="16"/>
        <v>0</v>
      </c>
      <c r="W54" s="21">
        <f t="shared" si="16"/>
        <v>0</v>
      </c>
      <c r="X54" s="21">
        <f t="shared" si="16"/>
        <v>0</v>
      </c>
      <c r="Y54" s="21">
        <f t="shared" si="16"/>
        <v>0</v>
      </c>
      <c r="Z54" s="21">
        <f t="shared" si="16"/>
        <v>0</v>
      </c>
      <c r="AA54" s="21">
        <f t="shared" si="16"/>
        <v>0</v>
      </c>
      <c r="AB54" s="21">
        <f t="shared" si="16"/>
        <v>0</v>
      </c>
      <c r="AC54" s="21">
        <f t="shared" si="16"/>
        <v>0</v>
      </c>
      <c r="AD54" s="21">
        <f t="shared" si="16"/>
        <v>0</v>
      </c>
      <c r="AE54" s="21">
        <f t="shared" si="16"/>
        <v>0</v>
      </c>
      <c r="AF54" s="21">
        <f t="shared" si="16"/>
        <v>0</v>
      </c>
      <c r="AG54" s="21">
        <f t="shared" si="16"/>
        <v>0</v>
      </c>
      <c r="AH54" s="21">
        <f t="shared" si="16"/>
        <v>0</v>
      </c>
      <c r="AI54" s="21">
        <f t="shared" si="16"/>
        <v>0</v>
      </c>
      <c r="AJ54" s="21">
        <f t="shared" si="16"/>
        <v>0</v>
      </c>
      <c r="AK54" s="21">
        <f t="shared" si="16"/>
        <v>0</v>
      </c>
      <c r="AL54" s="21">
        <f t="shared" si="16"/>
        <v>0</v>
      </c>
      <c r="AM54" s="21">
        <f t="shared" si="16"/>
        <v>0</v>
      </c>
      <c r="AN54" s="21">
        <f t="shared" si="16"/>
        <v>0</v>
      </c>
      <c r="AO54" s="21">
        <f t="shared" si="16"/>
        <v>0</v>
      </c>
      <c r="AP54" s="21">
        <f t="shared" si="16"/>
        <v>0</v>
      </c>
      <c r="AQ54" s="21">
        <f t="shared" si="16"/>
        <v>0</v>
      </c>
      <c r="AR54" s="21">
        <f t="shared" si="16"/>
        <v>0</v>
      </c>
      <c r="AS54" s="21">
        <f t="shared" si="16"/>
        <v>0</v>
      </c>
      <c r="AT54" s="21">
        <f t="shared" si="16"/>
        <v>0</v>
      </c>
      <c r="AU54" s="21">
        <f t="shared" si="16"/>
        <v>0</v>
      </c>
      <c r="AV54" s="21">
        <f t="shared" si="16"/>
        <v>0</v>
      </c>
      <c r="AW54" s="21">
        <f t="shared" si="16"/>
        <v>0</v>
      </c>
      <c r="AX54" s="21">
        <f t="shared" si="16"/>
        <v>0</v>
      </c>
      <c r="AY54" s="21">
        <f t="shared" si="16"/>
        <v>0</v>
      </c>
      <c r="AZ54" s="21">
        <f t="shared" si="16"/>
        <v>0</v>
      </c>
      <c r="BA54" s="21">
        <f t="shared" si="16"/>
        <v>0</v>
      </c>
      <c r="BB54" s="21">
        <f t="shared" si="16"/>
        <v>0</v>
      </c>
    </row>
    <row r="55" spans="2:54" ht="16.5" x14ac:dyDescent="0.3">
      <c r="B55" s="17"/>
      <c r="C55" s="14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</row>
    <row r="56" spans="2:54" ht="16.5" x14ac:dyDescent="0.3">
      <c r="B56" s="17"/>
      <c r="C56" s="18" t="s">
        <v>46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</row>
    <row r="57" spans="2:54" ht="16.5" x14ac:dyDescent="0.3">
      <c r="B57" s="17"/>
      <c r="C57" s="14" t="s">
        <v>47</v>
      </c>
      <c r="D57" s="15">
        <f>SUMIFS(PrdAdActif!$K:$K,PrdAdActif!$B:$B,adProjChocS2,PrdAdActif!$C:$C,adProjScenario,PrdAdActif!$F:$F,adProjCdCanton,PrdAdActif!$G:$G,"OBLIGATION",PrdAdActif!$D:$D,adProjIteration,PrdAdActif!$I:$I,"2.StratInv")</f>
        <v>0</v>
      </c>
      <c r="E57" s="15">
        <f>SUMIFS(PrdAdActif!$K:$K,PrdAdActif!$B:$B,adProjChocS2,PrdAdActif!$C:$C,adProjScenario,PrdAdActif!$F:$F,adProjCdCanton,PrdAdActif!$G:$G,"OBLIGATION",PrdAdActif!$D:$D,adProjIteration,PrdAdActif!$I:$I,"2.StratInv")</f>
        <v>0</v>
      </c>
      <c r="F57" s="15">
        <f>SUMIFS(PrdAdActif!$K:$K,PrdAdActif!$B:$B,adProjChocS2,PrdAdActif!$C:$C,adProjScenario,PrdAdActif!$F:$F,adProjCdCanton,PrdAdActif!$G:$G,"OBLIGATION",PrdAdActif!$D:$D,adProjIteration,PrdAdActif!$I:$I,"2.StratInv")</f>
        <v>0</v>
      </c>
      <c r="G57" s="15">
        <f>SUMIFS(PrdAdActif!$K:$K,PrdAdActif!$B:$B,adProjChocS2,PrdAdActif!$C:$C,adProjScenario,PrdAdActif!$F:$F,adProjCdCanton,PrdAdActif!$G:$G,"OBLIGATION",PrdAdActif!$D:$D,adProjIteration,PrdAdActif!$I:$I,"2.StratInv")</f>
        <v>0</v>
      </c>
      <c r="H57" s="15">
        <f>SUMIFS(PrdAdActif!$K:$K,PrdAdActif!$B:$B,adProjChocS2,PrdAdActif!$C:$C,adProjScenario,PrdAdActif!$F:$F,adProjCdCanton,PrdAdActif!$G:$G,"OBLIGATION",PrdAdActif!$D:$D,adProjIteration,PrdAdActif!$I:$I,"2.StratInv")</f>
        <v>0</v>
      </c>
      <c r="I57" s="15">
        <f>SUMIFS(PrdAdActif!$K:$K,PrdAdActif!$B:$B,adProjChocS2,PrdAdActif!$C:$C,adProjScenario,PrdAdActif!$F:$F,adProjCdCanton,PrdAdActif!$G:$G,"OBLIGATION",PrdAdActif!$D:$D,adProjIteration,PrdAdActif!$I:$I,"2.StratInv")</f>
        <v>0</v>
      </c>
      <c r="J57" s="15">
        <f>SUMIFS(PrdAdActif!$K:$K,PrdAdActif!$B:$B,adProjChocS2,PrdAdActif!$C:$C,adProjScenario,PrdAdActif!$F:$F,adProjCdCanton,PrdAdActif!$G:$G,"OBLIGATION",PrdAdActif!$D:$D,adProjIteration,PrdAdActif!$I:$I,"2.StratInv")</f>
        <v>0</v>
      </c>
      <c r="K57" s="15">
        <f>SUMIFS(PrdAdActif!$K:$K,PrdAdActif!$B:$B,adProjChocS2,PrdAdActif!$C:$C,adProjScenario,PrdAdActif!$F:$F,adProjCdCanton,PrdAdActif!$G:$G,"OBLIGATION",PrdAdActif!$D:$D,adProjIteration,PrdAdActif!$I:$I,"2.StratInv")</f>
        <v>0</v>
      </c>
      <c r="L57" s="15">
        <f>SUMIFS(PrdAdActif!$K:$K,PrdAdActif!$B:$B,adProjChocS2,PrdAdActif!$C:$C,adProjScenario,PrdAdActif!$F:$F,adProjCdCanton,PrdAdActif!$G:$G,"OBLIGATION",PrdAdActif!$D:$D,adProjIteration,PrdAdActif!$I:$I,"2.StratInv")</f>
        <v>0</v>
      </c>
      <c r="M57" s="15">
        <f>SUMIFS(PrdAdActif!$K:$K,PrdAdActif!$B:$B,adProjChocS2,PrdAdActif!$C:$C,adProjScenario,PrdAdActif!$F:$F,adProjCdCanton,PrdAdActif!$G:$G,"OBLIGATION",PrdAdActif!$D:$D,adProjIteration,PrdAdActif!$I:$I,"2.StratInv")</f>
        <v>0</v>
      </c>
      <c r="N57" s="15">
        <f>SUMIFS(PrdAdActif!$K:$K,PrdAdActif!$B:$B,adProjChocS2,PrdAdActif!$C:$C,adProjScenario,PrdAdActif!$F:$F,adProjCdCanton,PrdAdActif!$G:$G,"OBLIGATION",PrdAdActif!$D:$D,adProjIteration,PrdAdActif!$I:$I,"2.StratInv")</f>
        <v>0</v>
      </c>
      <c r="O57" s="15">
        <f>SUMIFS(PrdAdActif!$K:$K,PrdAdActif!$B:$B,adProjChocS2,PrdAdActif!$C:$C,adProjScenario,PrdAdActif!$F:$F,adProjCdCanton,PrdAdActif!$G:$G,"OBLIGATION",PrdAdActif!$D:$D,adProjIteration,PrdAdActif!$I:$I,"2.StratInv")</f>
        <v>0</v>
      </c>
      <c r="P57" s="15">
        <f>SUMIFS(PrdAdActif!$K:$K,PrdAdActif!$B:$B,adProjChocS2,PrdAdActif!$C:$C,adProjScenario,PrdAdActif!$F:$F,adProjCdCanton,PrdAdActif!$G:$G,"OBLIGATION",PrdAdActif!$D:$D,adProjIteration,PrdAdActif!$I:$I,"2.StratInv")</f>
        <v>0</v>
      </c>
      <c r="Q57" s="15">
        <f>SUMIFS(PrdAdActif!$K:$K,PrdAdActif!$B:$B,adProjChocS2,PrdAdActif!$C:$C,adProjScenario,PrdAdActif!$F:$F,adProjCdCanton,PrdAdActif!$G:$G,"OBLIGATION",PrdAdActif!$D:$D,adProjIteration,PrdAdActif!$I:$I,"2.StratInv")</f>
        <v>0</v>
      </c>
      <c r="R57" s="15">
        <f>SUMIFS(PrdAdActif!$K:$K,PrdAdActif!$B:$B,adProjChocS2,PrdAdActif!$C:$C,adProjScenario,PrdAdActif!$F:$F,adProjCdCanton,PrdAdActif!$G:$G,"OBLIGATION",PrdAdActif!$D:$D,adProjIteration,PrdAdActif!$I:$I,"2.StratInv")</f>
        <v>0</v>
      </c>
      <c r="S57" s="15">
        <f>SUMIFS(PrdAdActif!$K:$K,PrdAdActif!$B:$B,adProjChocS2,PrdAdActif!$C:$C,adProjScenario,PrdAdActif!$F:$F,adProjCdCanton,PrdAdActif!$G:$G,"OBLIGATION",PrdAdActif!$D:$D,adProjIteration,PrdAdActif!$I:$I,"2.StratInv")</f>
        <v>0</v>
      </c>
      <c r="T57" s="15">
        <f>SUMIFS(PrdAdActif!$K:$K,PrdAdActif!$B:$B,adProjChocS2,PrdAdActif!$C:$C,adProjScenario,PrdAdActif!$F:$F,adProjCdCanton,PrdAdActif!$G:$G,"OBLIGATION",PrdAdActif!$D:$D,adProjIteration,PrdAdActif!$I:$I,"2.StratInv")</f>
        <v>0</v>
      </c>
      <c r="U57" s="15">
        <f>SUMIFS(PrdAdActif!$K:$K,PrdAdActif!$B:$B,adProjChocS2,PrdAdActif!$C:$C,adProjScenario,PrdAdActif!$F:$F,adProjCdCanton,PrdAdActif!$G:$G,"OBLIGATION",PrdAdActif!$D:$D,adProjIteration,PrdAdActif!$I:$I,"2.StratInv")</f>
        <v>0</v>
      </c>
      <c r="V57" s="15">
        <f>SUMIFS(PrdAdActif!$K:$K,PrdAdActif!$B:$B,adProjChocS2,PrdAdActif!$C:$C,adProjScenario,PrdAdActif!$F:$F,adProjCdCanton,PrdAdActif!$G:$G,"OBLIGATION",PrdAdActif!$D:$D,adProjIteration,PrdAdActif!$I:$I,"2.StratInv")</f>
        <v>0</v>
      </c>
      <c r="W57" s="15">
        <f>SUMIFS(PrdAdActif!$K:$K,PrdAdActif!$B:$B,adProjChocS2,PrdAdActif!$C:$C,adProjScenario,PrdAdActif!$F:$F,adProjCdCanton,PrdAdActif!$G:$G,"OBLIGATION",PrdAdActif!$D:$D,adProjIteration,PrdAdActif!$I:$I,"2.StratInv")</f>
        <v>0</v>
      </c>
      <c r="X57" s="15">
        <f>SUMIFS(PrdAdActif!$K:$K,PrdAdActif!$B:$B,adProjChocS2,PrdAdActif!$C:$C,adProjScenario,PrdAdActif!$F:$F,adProjCdCanton,PrdAdActif!$G:$G,"OBLIGATION",PrdAdActif!$D:$D,adProjIteration,PrdAdActif!$I:$I,"2.StratInv")</f>
        <v>0</v>
      </c>
      <c r="Y57" s="15">
        <f>SUMIFS(PrdAdActif!$K:$K,PrdAdActif!$B:$B,adProjChocS2,PrdAdActif!$C:$C,adProjScenario,PrdAdActif!$F:$F,adProjCdCanton,PrdAdActif!$G:$G,"OBLIGATION",PrdAdActif!$D:$D,adProjIteration,PrdAdActif!$I:$I,"2.StratInv")</f>
        <v>0</v>
      </c>
      <c r="Z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A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B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C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D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E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F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G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H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I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J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K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L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M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N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O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P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Q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R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S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T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U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V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W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X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Y57" s="15">
        <f>SUMIFS(PrdAdActif!$K:$K,PrdAdActif!$B:$B,adProjChocS2,PrdAdActif!$C:$C,adProjScenario,PrdAdActif!$F:$F,adProjCdCanton,PrdAdActif!$G:$G,"OBLIGATION",PrdAdActif!$D:$D,adProjIteration,PrdAdActif!$I:$I,"2.StratInv")</f>
        <v>0</v>
      </c>
      <c r="AZ57" s="15">
        <f>SUMIFS(PrdAdActif!$K:$K,PrdAdActif!$B:$B,adProjChocS2,PrdAdActif!$C:$C,adProjScenario,PrdAdActif!$F:$F,adProjCdCanton,PrdAdActif!$G:$G,"OBLIGATION",PrdAdActif!$D:$D,adProjIteration,PrdAdActif!$I:$I,"2.StratInv")</f>
        <v>0</v>
      </c>
      <c r="BA57" s="15">
        <f>SUMIFS(PrdAdActif!$K:$K,PrdAdActif!$B:$B,adProjChocS2,PrdAdActif!$C:$C,adProjScenario,PrdAdActif!$F:$F,adProjCdCanton,PrdAdActif!$G:$G,"OBLIGATION",PrdAdActif!$D:$D,adProjIteration,PrdAdActif!$I:$I,"2.StratInv")</f>
        <v>0</v>
      </c>
      <c r="BB57" s="15">
        <f>SUMIFS(PrdAdActif!$K:$K,PrdAdActif!$B:$B,adProjChocS2,PrdAdActif!$C:$C,adProjScenario,PrdAdActif!$F:$F,adProjCdCanton,PrdAdActif!$G:$G,"OBLIGATION",PrdAdActif!$D:$D,adProjIteration,PrdAdActif!$I:$I,"2.StratInv")</f>
        <v>0</v>
      </c>
    </row>
    <row r="58" spans="2:54" ht="16.5" x14ac:dyDescent="0.3">
      <c r="B58" s="17"/>
      <c r="C58" s="14" t="s">
        <v>48</v>
      </c>
      <c r="D58" s="15">
        <f>SUMIFS(PrdAdActif!$K:$K,PrdAdActif!$B:$B,adProjChocS2,PrdAdActif!$C:$C,adProjScenario,PrdAdActif!$F:$F,adProjCdCanton,PrdAdActif!$G:$G,"IMMOBILIER",PrdAdActif!$D:$D,adProjIteration,PrdAdActif!$I:$I,"2.StratInv")</f>
        <v>0</v>
      </c>
      <c r="E58" s="15">
        <f>SUMIFS(PrdAdActif!$K:$K,PrdAdActif!$B:$B,adProjChocS2,PrdAdActif!$C:$C,adProjScenario,PrdAdActif!$F:$F,adProjCdCanton,PrdAdActif!$G:$G,"IMMOBILIER",PrdAdActif!$D:$D,adProjIteration,PrdAdActif!$I:$I,"2.StratInv")</f>
        <v>0</v>
      </c>
      <c r="F58" s="15">
        <f>SUMIFS(PrdAdActif!$K:$K,PrdAdActif!$B:$B,adProjChocS2,PrdAdActif!$C:$C,adProjScenario,PrdAdActif!$F:$F,adProjCdCanton,PrdAdActif!$G:$G,"IMMOBILIER",PrdAdActif!$D:$D,adProjIteration,PrdAdActif!$I:$I,"2.StratInv")</f>
        <v>0</v>
      </c>
      <c r="G58" s="15">
        <f>SUMIFS(PrdAdActif!$K:$K,PrdAdActif!$B:$B,adProjChocS2,PrdAdActif!$C:$C,adProjScenario,PrdAdActif!$F:$F,adProjCdCanton,PrdAdActif!$G:$G,"IMMOBILIER",PrdAdActif!$D:$D,adProjIteration,PrdAdActif!$I:$I,"2.StratInv")</f>
        <v>0</v>
      </c>
      <c r="H58" s="15">
        <f>SUMIFS(PrdAdActif!$K:$K,PrdAdActif!$B:$B,adProjChocS2,PrdAdActif!$C:$C,adProjScenario,PrdAdActif!$F:$F,adProjCdCanton,PrdAdActif!$G:$G,"IMMOBILIER",PrdAdActif!$D:$D,adProjIteration,PrdAdActif!$I:$I,"2.StratInv")</f>
        <v>0</v>
      </c>
      <c r="I58" s="15">
        <f>SUMIFS(PrdAdActif!$K:$K,PrdAdActif!$B:$B,adProjChocS2,PrdAdActif!$C:$C,adProjScenario,PrdAdActif!$F:$F,adProjCdCanton,PrdAdActif!$G:$G,"IMMOBILIER",PrdAdActif!$D:$D,adProjIteration,PrdAdActif!$I:$I,"2.StratInv")</f>
        <v>0</v>
      </c>
      <c r="J58" s="15">
        <f>SUMIFS(PrdAdActif!$K:$K,PrdAdActif!$B:$B,adProjChocS2,PrdAdActif!$C:$C,adProjScenario,PrdAdActif!$F:$F,adProjCdCanton,PrdAdActif!$G:$G,"IMMOBILIER",PrdAdActif!$D:$D,adProjIteration,PrdAdActif!$I:$I,"2.StratInv")</f>
        <v>0</v>
      </c>
      <c r="K58" s="15">
        <f>SUMIFS(PrdAdActif!$K:$K,PrdAdActif!$B:$B,adProjChocS2,PrdAdActif!$C:$C,adProjScenario,PrdAdActif!$F:$F,adProjCdCanton,PrdAdActif!$G:$G,"IMMOBILIER",PrdAdActif!$D:$D,adProjIteration,PrdAdActif!$I:$I,"2.StratInv")</f>
        <v>0</v>
      </c>
      <c r="L58" s="15">
        <f>SUMIFS(PrdAdActif!$K:$K,PrdAdActif!$B:$B,adProjChocS2,PrdAdActif!$C:$C,adProjScenario,PrdAdActif!$F:$F,adProjCdCanton,PrdAdActif!$G:$G,"IMMOBILIER",PrdAdActif!$D:$D,adProjIteration,PrdAdActif!$I:$I,"2.StratInv")</f>
        <v>0</v>
      </c>
      <c r="M58" s="15">
        <f>SUMIFS(PrdAdActif!$K:$K,PrdAdActif!$B:$B,adProjChocS2,PrdAdActif!$C:$C,adProjScenario,PrdAdActif!$F:$F,adProjCdCanton,PrdAdActif!$G:$G,"IMMOBILIER",PrdAdActif!$D:$D,adProjIteration,PrdAdActif!$I:$I,"2.StratInv")</f>
        <v>0</v>
      </c>
      <c r="N58" s="15">
        <f>SUMIFS(PrdAdActif!$K:$K,PrdAdActif!$B:$B,adProjChocS2,PrdAdActif!$C:$C,adProjScenario,PrdAdActif!$F:$F,adProjCdCanton,PrdAdActif!$G:$G,"IMMOBILIER",PrdAdActif!$D:$D,adProjIteration,PrdAdActif!$I:$I,"2.StratInv")</f>
        <v>0</v>
      </c>
      <c r="O58" s="15">
        <f>SUMIFS(PrdAdActif!$K:$K,PrdAdActif!$B:$B,adProjChocS2,PrdAdActif!$C:$C,adProjScenario,PrdAdActif!$F:$F,adProjCdCanton,PrdAdActif!$G:$G,"IMMOBILIER",PrdAdActif!$D:$D,adProjIteration,PrdAdActif!$I:$I,"2.StratInv")</f>
        <v>0</v>
      </c>
      <c r="P58" s="15">
        <f>SUMIFS(PrdAdActif!$K:$K,PrdAdActif!$B:$B,adProjChocS2,PrdAdActif!$C:$C,adProjScenario,PrdAdActif!$F:$F,adProjCdCanton,PrdAdActif!$G:$G,"IMMOBILIER",PrdAdActif!$D:$D,adProjIteration,PrdAdActif!$I:$I,"2.StratInv")</f>
        <v>0</v>
      </c>
      <c r="Q58" s="15">
        <f>SUMIFS(PrdAdActif!$K:$K,PrdAdActif!$B:$B,adProjChocS2,PrdAdActif!$C:$C,adProjScenario,PrdAdActif!$F:$F,adProjCdCanton,PrdAdActif!$G:$G,"IMMOBILIER",PrdAdActif!$D:$D,adProjIteration,PrdAdActif!$I:$I,"2.StratInv")</f>
        <v>0</v>
      </c>
      <c r="R58" s="15">
        <f>SUMIFS(PrdAdActif!$K:$K,PrdAdActif!$B:$B,adProjChocS2,PrdAdActif!$C:$C,adProjScenario,PrdAdActif!$F:$F,adProjCdCanton,PrdAdActif!$G:$G,"IMMOBILIER",PrdAdActif!$D:$D,adProjIteration,PrdAdActif!$I:$I,"2.StratInv")</f>
        <v>0</v>
      </c>
      <c r="S58" s="15">
        <f>SUMIFS(PrdAdActif!$K:$K,PrdAdActif!$B:$B,adProjChocS2,PrdAdActif!$C:$C,adProjScenario,PrdAdActif!$F:$F,adProjCdCanton,PrdAdActif!$G:$G,"IMMOBILIER",PrdAdActif!$D:$D,adProjIteration,PrdAdActif!$I:$I,"2.StratInv")</f>
        <v>0</v>
      </c>
      <c r="T58" s="15">
        <f>SUMIFS(PrdAdActif!$K:$K,PrdAdActif!$B:$B,adProjChocS2,PrdAdActif!$C:$C,adProjScenario,PrdAdActif!$F:$F,adProjCdCanton,PrdAdActif!$G:$G,"IMMOBILIER",PrdAdActif!$D:$D,adProjIteration,PrdAdActif!$I:$I,"2.StratInv")</f>
        <v>0</v>
      </c>
      <c r="U58" s="15">
        <f>SUMIFS(PrdAdActif!$K:$K,PrdAdActif!$B:$B,adProjChocS2,PrdAdActif!$C:$C,adProjScenario,PrdAdActif!$F:$F,adProjCdCanton,PrdAdActif!$G:$G,"IMMOBILIER",PrdAdActif!$D:$D,adProjIteration,PrdAdActif!$I:$I,"2.StratInv")</f>
        <v>0</v>
      </c>
      <c r="V58" s="15">
        <f>SUMIFS(PrdAdActif!$K:$K,PrdAdActif!$B:$B,adProjChocS2,PrdAdActif!$C:$C,adProjScenario,PrdAdActif!$F:$F,adProjCdCanton,PrdAdActif!$G:$G,"IMMOBILIER",PrdAdActif!$D:$D,adProjIteration,PrdAdActif!$I:$I,"2.StratInv")</f>
        <v>0</v>
      </c>
      <c r="W58" s="15">
        <f>SUMIFS(PrdAdActif!$K:$K,PrdAdActif!$B:$B,adProjChocS2,PrdAdActif!$C:$C,adProjScenario,PrdAdActif!$F:$F,adProjCdCanton,PrdAdActif!$G:$G,"IMMOBILIER",PrdAdActif!$D:$D,adProjIteration,PrdAdActif!$I:$I,"2.StratInv")</f>
        <v>0</v>
      </c>
      <c r="X58" s="15">
        <f>SUMIFS(PrdAdActif!$K:$K,PrdAdActif!$B:$B,adProjChocS2,PrdAdActif!$C:$C,adProjScenario,PrdAdActif!$F:$F,adProjCdCanton,PrdAdActif!$G:$G,"IMMOBILIER",PrdAdActif!$D:$D,adProjIteration,PrdAdActif!$I:$I,"2.StratInv")</f>
        <v>0</v>
      </c>
      <c r="Y58" s="15">
        <f>SUMIFS(PrdAdActif!$K:$K,PrdAdActif!$B:$B,adProjChocS2,PrdAdActif!$C:$C,adProjScenario,PrdAdActif!$F:$F,adProjCdCanton,PrdAdActif!$G:$G,"IMMOBILIER",PrdAdActif!$D:$D,adProjIteration,PrdAdActif!$I:$I,"2.StratInv")</f>
        <v>0</v>
      </c>
      <c r="Z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A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B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C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D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E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F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G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H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I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J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K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L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M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N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O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P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Q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R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S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T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U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V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W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X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Y58" s="15">
        <f>SUMIFS(PrdAdActif!$K:$K,PrdAdActif!$B:$B,adProjChocS2,PrdAdActif!$C:$C,adProjScenario,PrdAdActif!$F:$F,adProjCdCanton,PrdAdActif!$G:$G,"IMMOBILIER",PrdAdActif!$D:$D,adProjIteration,PrdAdActif!$I:$I,"2.StratInv")</f>
        <v>0</v>
      </c>
      <c r="AZ58" s="15">
        <f>SUMIFS(PrdAdActif!$K:$K,PrdAdActif!$B:$B,adProjChocS2,PrdAdActif!$C:$C,adProjScenario,PrdAdActif!$F:$F,adProjCdCanton,PrdAdActif!$G:$G,"IMMOBILIER",PrdAdActif!$D:$D,adProjIteration,PrdAdActif!$I:$I,"2.StratInv")</f>
        <v>0</v>
      </c>
      <c r="BA58" s="15">
        <f>SUMIFS(PrdAdActif!$K:$K,PrdAdActif!$B:$B,adProjChocS2,PrdAdActif!$C:$C,adProjScenario,PrdAdActif!$F:$F,adProjCdCanton,PrdAdActif!$G:$G,"IMMOBILIER",PrdAdActif!$D:$D,adProjIteration,PrdAdActif!$I:$I,"2.StratInv")</f>
        <v>0</v>
      </c>
      <c r="BB58" s="15">
        <f>SUMIFS(PrdAdActif!$K:$K,PrdAdActif!$B:$B,adProjChocS2,PrdAdActif!$C:$C,adProjScenario,PrdAdActif!$F:$F,adProjCdCanton,PrdAdActif!$G:$G,"IMMOBILIER",PrdAdActif!$D:$D,adProjIteration,PrdAdActif!$I:$I,"2.StratInv")</f>
        <v>0</v>
      </c>
    </row>
    <row r="59" spans="2:54" s="24" customFormat="1" ht="16.5" x14ac:dyDescent="0.3">
      <c r="B59" s="23"/>
      <c r="C59" s="14" t="s">
        <v>49</v>
      </c>
      <c r="D59" s="15">
        <f>SUMIFS(PrdAdActif!$K:$K,PrdAdActif!$B:$B,adProjChocS2,PrdAdActif!$C:$C,adProjScenario,PrdAdActif!$F:$F,adProjCdCanton,PrdAdActif!$G:$G,"ACTION",PrdAdActif!$D:$D,adProjIteration,PrdAdActif!$I:$I,"2.StratInv")</f>
        <v>0</v>
      </c>
      <c r="E59" s="15">
        <f>SUMIFS(PrdAdActif!$K:$K,PrdAdActif!$B:$B,adProjChocS2,PrdAdActif!$C:$C,adProjScenario,PrdAdActif!$F:$F,adProjCdCanton,PrdAdActif!$G:$G,"ACTION",PrdAdActif!$D:$D,adProjIteration,PrdAdActif!$I:$I,"2.StratInv")</f>
        <v>0</v>
      </c>
      <c r="F59" s="15">
        <f>SUMIFS(PrdAdActif!$K:$K,PrdAdActif!$B:$B,adProjChocS2,PrdAdActif!$C:$C,adProjScenario,PrdAdActif!$F:$F,adProjCdCanton,PrdAdActif!$G:$G,"ACTION",PrdAdActif!$D:$D,adProjIteration,PrdAdActif!$I:$I,"2.StratInv")</f>
        <v>0</v>
      </c>
      <c r="G59" s="15">
        <f>SUMIFS(PrdAdActif!$K:$K,PrdAdActif!$B:$B,adProjChocS2,PrdAdActif!$C:$C,adProjScenario,PrdAdActif!$F:$F,adProjCdCanton,PrdAdActif!$G:$G,"ACTION",PrdAdActif!$D:$D,adProjIteration,PrdAdActif!$I:$I,"2.StratInv")</f>
        <v>0</v>
      </c>
      <c r="H59" s="15">
        <f>SUMIFS(PrdAdActif!$K:$K,PrdAdActif!$B:$B,adProjChocS2,PrdAdActif!$C:$C,adProjScenario,PrdAdActif!$F:$F,adProjCdCanton,PrdAdActif!$G:$G,"ACTION",PrdAdActif!$D:$D,adProjIteration,PrdAdActif!$I:$I,"2.StratInv")</f>
        <v>0</v>
      </c>
      <c r="I59" s="15">
        <f>SUMIFS(PrdAdActif!$K:$K,PrdAdActif!$B:$B,adProjChocS2,PrdAdActif!$C:$C,adProjScenario,PrdAdActif!$F:$F,adProjCdCanton,PrdAdActif!$G:$G,"ACTION",PrdAdActif!$D:$D,adProjIteration,PrdAdActif!$I:$I,"2.StratInv")</f>
        <v>0</v>
      </c>
      <c r="J59" s="15">
        <f>SUMIFS(PrdAdActif!$K:$K,PrdAdActif!$B:$B,adProjChocS2,PrdAdActif!$C:$C,adProjScenario,PrdAdActif!$F:$F,adProjCdCanton,PrdAdActif!$G:$G,"ACTION",PrdAdActif!$D:$D,adProjIteration,PrdAdActif!$I:$I,"2.StratInv")</f>
        <v>0</v>
      </c>
      <c r="K59" s="15">
        <f>SUMIFS(PrdAdActif!$K:$K,PrdAdActif!$B:$B,adProjChocS2,PrdAdActif!$C:$C,adProjScenario,PrdAdActif!$F:$F,adProjCdCanton,PrdAdActif!$G:$G,"ACTION",PrdAdActif!$D:$D,adProjIteration,PrdAdActif!$I:$I,"2.StratInv")</f>
        <v>0</v>
      </c>
      <c r="L59" s="15">
        <f>SUMIFS(PrdAdActif!$K:$K,PrdAdActif!$B:$B,adProjChocS2,PrdAdActif!$C:$C,adProjScenario,PrdAdActif!$F:$F,adProjCdCanton,PrdAdActif!$G:$G,"ACTION",PrdAdActif!$D:$D,adProjIteration,PrdAdActif!$I:$I,"2.StratInv")</f>
        <v>0</v>
      </c>
      <c r="M59" s="15">
        <f>SUMIFS(PrdAdActif!$K:$K,PrdAdActif!$B:$B,adProjChocS2,PrdAdActif!$C:$C,adProjScenario,PrdAdActif!$F:$F,adProjCdCanton,PrdAdActif!$G:$G,"ACTION",PrdAdActif!$D:$D,adProjIteration,PrdAdActif!$I:$I,"2.StratInv")</f>
        <v>0</v>
      </c>
      <c r="N59" s="15">
        <f>SUMIFS(PrdAdActif!$K:$K,PrdAdActif!$B:$B,adProjChocS2,PrdAdActif!$C:$C,adProjScenario,PrdAdActif!$F:$F,adProjCdCanton,PrdAdActif!$G:$G,"ACTION",PrdAdActif!$D:$D,adProjIteration,PrdAdActif!$I:$I,"2.StratInv")</f>
        <v>0</v>
      </c>
      <c r="O59" s="15">
        <f>SUMIFS(PrdAdActif!$K:$K,PrdAdActif!$B:$B,adProjChocS2,PrdAdActif!$C:$C,adProjScenario,PrdAdActif!$F:$F,adProjCdCanton,PrdAdActif!$G:$G,"ACTION",PrdAdActif!$D:$D,adProjIteration,PrdAdActif!$I:$I,"2.StratInv")</f>
        <v>0</v>
      </c>
      <c r="P59" s="15">
        <f>SUMIFS(PrdAdActif!$K:$K,PrdAdActif!$B:$B,adProjChocS2,PrdAdActif!$C:$C,adProjScenario,PrdAdActif!$F:$F,adProjCdCanton,PrdAdActif!$G:$G,"ACTION",PrdAdActif!$D:$D,adProjIteration,PrdAdActif!$I:$I,"2.StratInv")</f>
        <v>0</v>
      </c>
      <c r="Q59" s="15">
        <f>SUMIFS(PrdAdActif!$K:$K,PrdAdActif!$B:$B,adProjChocS2,PrdAdActif!$C:$C,adProjScenario,PrdAdActif!$F:$F,adProjCdCanton,PrdAdActif!$G:$G,"ACTION",PrdAdActif!$D:$D,adProjIteration,PrdAdActif!$I:$I,"2.StratInv")</f>
        <v>0</v>
      </c>
      <c r="R59" s="15">
        <f>SUMIFS(PrdAdActif!$K:$K,PrdAdActif!$B:$B,adProjChocS2,PrdAdActif!$C:$C,adProjScenario,PrdAdActif!$F:$F,adProjCdCanton,PrdAdActif!$G:$G,"ACTION",PrdAdActif!$D:$D,adProjIteration,PrdAdActif!$I:$I,"2.StratInv")</f>
        <v>0</v>
      </c>
      <c r="S59" s="15">
        <f>SUMIFS(PrdAdActif!$K:$K,PrdAdActif!$B:$B,adProjChocS2,PrdAdActif!$C:$C,adProjScenario,PrdAdActif!$F:$F,adProjCdCanton,PrdAdActif!$G:$G,"ACTION",PrdAdActif!$D:$D,adProjIteration,PrdAdActif!$I:$I,"2.StratInv")</f>
        <v>0</v>
      </c>
      <c r="T59" s="15">
        <f>SUMIFS(PrdAdActif!$K:$K,PrdAdActif!$B:$B,adProjChocS2,PrdAdActif!$C:$C,adProjScenario,PrdAdActif!$F:$F,adProjCdCanton,PrdAdActif!$G:$G,"ACTION",PrdAdActif!$D:$D,adProjIteration,PrdAdActif!$I:$I,"2.StratInv")</f>
        <v>0</v>
      </c>
      <c r="U59" s="15">
        <f>SUMIFS(PrdAdActif!$K:$K,PrdAdActif!$B:$B,adProjChocS2,PrdAdActif!$C:$C,adProjScenario,PrdAdActif!$F:$F,adProjCdCanton,PrdAdActif!$G:$G,"ACTION",PrdAdActif!$D:$D,adProjIteration,PrdAdActif!$I:$I,"2.StratInv")</f>
        <v>0</v>
      </c>
      <c r="V59" s="15">
        <f>SUMIFS(PrdAdActif!$K:$K,PrdAdActif!$B:$B,adProjChocS2,PrdAdActif!$C:$C,adProjScenario,PrdAdActif!$F:$F,adProjCdCanton,PrdAdActif!$G:$G,"ACTION",PrdAdActif!$D:$D,adProjIteration,PrdAdActif!$I:$I,"2.StratInv")</f>
        <v>0</v>
      </c>
      <c r="W59" s="15">
        <f>SUMIFS(PrdAdActif!$K:$K,PrdAdActif!$B:$B,adProjChocS2,PrdAdActif!$C:$C,adProjScenario,PrdAdActif!$F:$F,adProjCdCanton,PrdAdActif!$G:$G,"ACTION",PrdAdActif!$D:$D,adProjIteration,PrdAdActif!$I:$I,"2.StratInv")</f>
        <v>0</v>
      </c>
      <c r="X59" s="15">
        <f>SUMIFS(PrdAdActif!$K:$K,PrdAdActif!$B:$B,adProjChocS2,PrdAdActif!$C:$C,adProjScenario,PrdAdActif!$F:$F,adProjCdCanton,PrdAdActif!$G:$G,"ACTION",PrdAdActif!$D:$D,adProjIteration,PrdAdActif!$I:$I,"2.StratInv")</f>
        <v>0</v>
      </c>
      <c r="Y59" s="15">
        <f>SUMIFS(PrdAdActif!$K:$K,PrdAdActif!$B:$B,adProjChocS2,PrdAdActif!$C:$C,adProjScenario,PrdAdActif!$F:$F,adProjCdCanton,PrdAdActif!$G:$G,"ACTION",PrdAdActif!$D:$D,adProjIteration,PrdAdActif!$I:$I,"2.StratInv")</f>
        <v>0</v>
      </c>
      <c r="Z59" s="15">
        <f>SUMIFS(PrdAdActif!$K:$K,PrdAdActif!$B:$B,adProjChocS2,PrdAdActif!$C:$C,adProjScenario,PrdAdActif!$F:$F,adProjCdCanton,PrdAdActif!$G:$G,"ACTION",PrdAdActif!$D:$D,adProjIteration,PrdAdActif!$I:$I,"2.StratInv")</f>
        <v>0</v>
      </c>
      <c r="AA59" s="15">
        <f>SUMIFS(PrdAdActif!$K:$K,PrdAdActif!$B:$B,adProjChocS2,PrdAdActif!$C:$C,adProjScenario,PrdAdActif!$F:$F,adProjCdCanton,PrdAdActif!$G:$G,"ACTION",PrdAdActif!$D:$D,adProjIteration,PrdAdActif!$I:$I,"2.StratInv")</f>
        <v>0</v>
      </c>
      <c r="AB59" s="15">
        <f>SUMIFS(PrdAdActif!$K:$K,PrdAdActif!$B:$B,adProjChocS2,PrdAdActif!$C:$C,adProjScenario,PrdAdActif!$F:$F,adProjCdCanton,PrdAdActif!$G:$G,"ACTION",PrdAdActif!$D:$D,adProjIteration,PrdAdActif!$I:$I,"2.StratInv")</f>
        <v>0</v>
      </c>
      <c r="AC59" s="15">
        <f>SUMIFS(PrdAdActif!$K:$K,PrdAdActif!$B:$B,adProjChocS2,PrdAdActif!$C:$C,adProjScenario,PrdAdActif!$F:$F,adProjCdCanton,PrdAdActif!$G:$G,"ACTION",PrdAdActif!$D:$D,adProjIteration,PrdAdActif!$I:$I,"2.StratInv")</f>
        <v>0</v>
      </c>
      <c r="AD59" s="15">
        <f>SUMIFS(PrdAdActif!$K:$K,PrdAdActif!$B:$B,adProjChocS2,PrdAdActif!$C:$C,adProjScenario,PrdAdActif!$F:$F,adProjCdCanton,PrdAdActif!$G:$G,"ACTION",PrdAdActif!$D:$D,adProjIteration,PrdAdActif!$I:$I,"2.StratInv")</f>
        <v>0</v>
      </c>
      <c r="AE59" s="15">
        <f>SUMIFS(PrdAdActif!$K:$K,PrdAdActif!$B:$B,adProjChocS2,PrdAdActif!$C:$C,adProjScenario,PrdAdActif!$F:$F,adProjCdCanton,PrdAdActif!$G:$G,"ACTION",PrdAdActif!$D:$D,adProjIteration,PrdAdActif!$I:$I,"2.StratInv")</f>
        <v>0</v>
      </c>
      <c r="AF59" s="15">
        <f>SUMIFS(PrdAdActif!$K:$K,PrdAdActif!$B:$B,adProjChocS2,PrdAdActif!$C:$C,adProjScenario,PrdAdActif!$F:$F,adProjCdCanton,PrdAdActif!$G:$G,"ACTION",PrdAdActif!$D:$D,adProjIteration,PrdAdActif!$I:$I,"2.StratInv")</f>
        <v>0</v>
      </c>
      <c r="AG59" s="15">
        <f>SUMIFS(PrdAdActif!$K:$K,PrdAdActif!$B:$B,adProjChocS2,PrdAdActif!$C:$C,adProjScenario,PrdAdActif!$F:$F,adProjCdCanton,PrdAdActif!$G:$G,"ACTION",PrdAdActif!$D:$D,adProjIteration,PrdAdActif!$I:$I,"2.StratInv")</f>
        <v>0</v>
      </c>
      <c r="AH59" s="15">
        <f>SUMIFS(PrdAdActif!$K:$K,PrdAdActif!$B:$B,adProjChocS2,PrdAdActif!$C:$C,adProjScenario,PrdAdActif!$F:$F,adProjCdCanton,PrdAdActif!$G:$G,"ACTION",PrdAdActif!$D:$D,adProjIteration,PrdAdActif!$I:$I,"2.StratInv")</f>
        <v>0</v>
      </c>
      <c r="AI59" s="15">
        <f>SUMIFS(PrdAdActif!$K:$K,PrdAdActif!$B:$B,adProjChocS2,PrdAdActif!$C:$C,adProjScenario,PrdAdActif!$F:$F,adProjCdCanton,PrdAdActif!$G:$G,"ACTION",PrdAdActif!$D:$D,adProjIteration,PrdAdActif!$I:$I,"2.StratInv")</f>
        <v>0</v>
      </c>
      <c r="AJ59" s="15">
        <f>SUMIFS(PrdAdActif!$K:$K,PrdAdActif!$B:$B,adProjChocS2,PrdAdActif!$C:$C,adProjScenario,PrdAdActif!$F:$F,adProjCdCanton,PrdAdActif!$G:$G,"ACTION",PrdAdActif!$D:$D,adProjIteration,PrdAdActif!$I:$I,"2.StratInv")</f>
        <v>0</v>
      </c>
      <c r="AK59" s="15">
        <f>SUMIFS(PrdAdActif!$K:$K,PrdAdActif!$B:$B,adProjChocS2,PrdAdActif!$C:$C,adProjScenario,PrdAdActif!$F:$F,adProjCdCanton,PrdAdActif!$G:$G,"ACTION",PrdAdActif!$D:$D,adProjIteration,PrdAdActif!$I:$I,"2.StratInv")</f>
        <v>0</v>
      </c>
      <c r="AL59" s="15">
        <f>SUMIFS(PrdAdActif!$K:$K,PrdAdActif!$B:$B,adProjChocS2,PrdAdActif!$C:$C,adProjScenario,PrdAdActif!$F:$F,adProjCdCanton,PrdAdActif!$G:$G,"ACTION",PrdAdActif!$D:$D,adProjIteration,PrdAdActif!$I:$I,"2.StratInv")</f>
        <v>0</v>
      </c>
      <c r="AM59" s="15">
        <f>SUMIFS(PrdAdActif!$K:$K,PrdAdActif!$B:$B,adProjChocS2,PrdAdActif!$C:$C,adProjScenario,PrdAdActif!$F:$F,adProjCdCanton,PrdAdActif!$G:$G,"ACTION",PrdAdActif!$D:$D,adProjIteration,PrdAdActif!$I:$I,"2.StratInv")</f>
        <v>0</v>
      </c>
      <c r="AN59" s="15">
        <f>SUMIFS(PrdAdActif!$K:$K,PrdAdActif!$B:$B,adProjChocS2,PrdAdActif!$C:$C,adProjScenario,PrdAdActif!$F:$F,adProjCdCanton,PrdAdActif!$G:$G,"ACTION",PrdAdActif!$D:$D,adProjIteration,PrdAdActif!$I:$I,"2.StratInv")</f>
        <v>0</v>
      </c>
      <c r="AO59" s="15">
        <f>SUMIFS(PrdAdActif!$K:$K,PrdAdActif!$B:$B,adProjChocS2,PrdAdActif!$C:$C,adProjScenario,PrdAdActif!$F:$F,adProjCdCanton,PrdAdActif!$G:$G,"ACTION",PrdAdActif!$D:$D,adProjIteration,PrdAdActif!$I:$I,"2.StratInv")</f>
        <v>0</v>
      </c>
      <c r="AP59" s="15">
        <f>SUMIFS(PrdAdActif!$K:$K,PrdAdActif!$B:$B,adProjChocS2,PrdAdActif!$C:$C,adProjScenario,PrdAdActif!$F:$F,adProjCdCanton,PrdAdActif!$G:$G,"ACTION",PrdAdActif!$D:$D,adProjIteration,PrdAdActif!$I:$I,"2.StratInv")</f>
        <v>0</v>
      </c>
      <c r="AQ59" s="15">
        <f>SUMIFS(PrdAdActif!$K:$K,PrdAdActif!$B:$B,adProjChocS2,PrdAdActif!$C:$C,adProjScenario,PrdAdActif!$F:$F,adProjCdCanton,PrdAdActif!$G:$G,"ACTION",PrdAdActif!$D:$D,adProjIteration,PrdAdActif!$I:$I,"2.StratInv")</f>
        <v>0</v>
      </c>
      <c r="AR59" s="15">
        <f>SUMIFS(PrdAdActif!$K:$K,PrdAdActif!$B:$B,adProjChocS2,PrdAdActif!$C:$C,adProjScenario,PrdAdActif!$F:$F,adProjCdCanton,PrdAdActif!$G:$G,"ACTION",PrdAdActif!$D:$D,adProjIteration,PrdAdActif!$I:$I,"2.StratInv")</f>
        <v>0</v>
      </c>
      <c r="AS59" s="15">
        <f>SUMIFS(PrdAdActif!$K:$K,PrdAdActif!$B:$B,adProjChocS2,PrdAdActif!$C:$C,adProjScenario,PrdAdActif!$F:$F,adProjCdCanton,PrdAdActif!$G:$G,"ACTION",PrdAdActif!$D:$D,adProjIteration,PrdAdActif!$I:$I,"2.StratInv")</f>
        <v>0</v>
      </c>
      <c r="AT59" s="15">
        <f>SUMIFS(PrdAdActif!$K:$K,PrdAdActif!$B:$B,adProjChocS2,PrdAdActif!$C:$C,adProjScenario,PrdAdActif!$F:$F,adProjCdCanton,PrdAdActif!$G:$G,"ACTION",PrdAdActif!$D:$D,adProjIteration,PrdAdActif!$I:$I,"2.StratInv")</f>
        <v>0</v>
      </c>
      <c r="AU59" s="15">
        <f>SUMIFS(PrdAdActif!$K:$K,PrdAdActif!$B:$B,adProjChocS2,PrdAdActif!$C:$C,adProjScenario,PrdAdActif!$F:$F,adProjCdCanton,PrdAdActif!$G:$G,"ACTION",PrdAdActif!$D:$D,adProjIteration,PrdAdActif!$I:$I,"2.StratInv")</f>
        <v>0</v>
      </c>
      <c r="AV59" s="15">
        <f>SUMIFS(PrdAdActif!$K:$K,PrdAdActif!$B:$B,adProjChocS2,PrdAdActif!$C:$C,adProjScenario,PrdAdActif!$F:$F,adProjCdCanton,PrdAdActif!$G:$G,"ACTION",PrdAdActif!$D:$D,adProjIteration,PrdAdActif!$I:$I,"2.StratInv")</f>
        <v>0</v>
      </c>
      <c r="AW59" s="15">
        <f>SUMIFS(PrdAdActif!$K:$K,PrdAdActif!$B:$B,adProjChocS2,PrdAdActif!$C:$C,adProjScenario,PrdAdActif!$F:$F,adProjCdCanton,PrdAdActif!$G:$G,"ACTION",PrdAdActif!$D:$D,adProjIteration,PrdAdActif!$I:$I,"2.StratInv")</f>
        <v>0</v>
      </c>
      <c r="AX59" s="15">
        <f>SUMIFS(PrdAdActif!$K:$K,PrdAdActif!$B:$B,adProjChocS2,PrdAdActif!$C:$C,adProjScenario,PrdAdActif!$F:$F,adProjCdCanton,PrdAdActif!$G:$G,"ACTION",PrdAdActif!$D:$D,adProjIteration,PrdAdActif!$I:$I,"2.StratInv")</f>
        <v>0</v>
      </c>
      <c r="AY59" s="15">
        <f>SUMIFS(PrdAdActif!$K:$K,PrdAdActif!$B:$B,adProjChocS2,PrdAdActif!$C:$C,adProjScenario,PrdAdActif!$F:$F,adProjCdCanton,PrdAdActif!$G:$G,"ACTION",PrdAdActif!$D:$D,adProjIteration,PrdAdActif!$I:$I,"2.StratInv")</f>
        <v>0</v>
      </c>
      <c r="AZ59" s="15">
        <f>SUMIFS(PrdAdActif!$K:$K,PrdAdActif!$B:$B,adProjChocS2,PrdAdActif!$C:$C,adProjScenario,PrdAdActif!$F:$F,adProjCdCanton,PrdAdActif!$G:$G,"ACTION",PrdAdActif!$D:$D,adProjIteration,PrdAdActif!$I:$I,"2.StratInv")</f>
        <v>0</v>
      </c>
      <c r="BA59" s="15">
        <f>SUMIFS(PrdAdActif!$K:$K,PrdAdActif!$B:$B,adProjChocS2,PrdAdActif!$C:$C,adProjScenario,PrdAdActif!$F:$F,adProjCdCanton,PrdAdActif!$G:$G,"ACTION",PrdAdActif!$D:$D,adProjIteration,PrdAdActif!$I:$I,"2.StratInv")</f>
        <v>0</v>
      </c>
      <c r="BB59" s="15">
        <f>SUMIFS(PrdAdActif!$K:$K,PrdAdActif!$B:$B,adProjChocS2,PrdAdActif!$C:$C,adProjScenario,PrdAdActif!$F:$F,adProjCdCanton,PrdAdActif!$G:$G,"ACTION",PrdAdActif!$D:$D,adProjIteration,PrdAdActif!$I:$I,"2.StratInv")</f>
        <v>0</v>
      </c>
    </row>
    <row r="60" spans="2:54" ht="16.5" x14ac:dyDescent="0.3">
      <c r="B60" s="17"/>
      <c r="C60" s="14" t="s">
        <v>50</v>
      </c>
      <c r="D60" s="15">
        <f>SUMIFS(PrdAdActif!$M:$M,PrdAdActif!$B:$B,adProjChocS2,PrdAdActif!$C:$C,adProjScenario,PrdAdActif!$F:$F,adProjCdCanton,PrdAdActif!$G:$G,"MONETAIRE",PrdAdActif!$D:$D,adProjIteration,PrdAdActif!$I:$I,"2.StratInv")</f>
        <v>0</v>
      </c>
      <c r="E60" s="15">
        <f>SUMIFS(PrdAdActif!$M:$M,PrdAdActif!$B:$B,adProjChocS2,PrdAdActif!$C:$C,adProjScenario,PrdAdActif!$F:$F,adProjCdCanton,PrdAdActif!$G:$G,"MONETAIRE",PrdAdActif!$D:$D,adProjIteration,PrdAdActif!$I:$I,"2.StratInv")</f>
        <v>0</v>
      </c>
      <c r="F60" s="15">
        <f>SUMIFS(PrdAdActif!$M:$M,PrdAdActif!$B:$B,adProjChocS2,PrdAdActif!$C:$C,adProjScenario,PrdAdActif!$F:$F,adProjCdCanton,PrdAdActif!$G:$G,"MONETAIRE",PrdAdActif!$D:$D,adProjIteration,PrdAdActif!$I:$I,"2.StratInv")</f>
        <v>0</v>
      </c>
      <c r="G60" s="15">
        <f>SUMIFS(PrdAdActif!$M:$M,PrdAdActif!$B:$B,adProjChocS2,PrdAdActif!$C:$C,adProjScenario,PrdAdActif!$F:$F,adProjCdCanton,PrdAdActif!$G:$G,"MONETAIRE",PrdAdActif!$D:$D,adProjIteration,PrdAdActif!$I:$I,"2.StratInv")</f>
        <v>0</v>
      </c>
      <c r="H60" s="15">
        <f>SUMIFS(PrdAdActif!$M:$M,PrdAdActif!$B:$B,adProjChocS2,PrdAdActif!$C:$C,adProjScenario,PrdAdActif!$F:$F,adProjCdCanton,PrdAdActif!$G:$G,"MONETAIRE",PrdAdActif!$D:$D,adProjIteration,PrdAdActif!$I:$I,"2.StratInv")</f>
        <v>0</v>
      </c>
      <c r="I60" s="15">
        <f>SUMIFS(PrdAdActif!$M:$M,PrdAdActif!$B:$B,adProjChocS2,PrdAdActif!$C:$C,adProjScenario,PrdAdActif!$F:$F,adProjCdCanton,PrdAdActif!$G:$G,"MONETAIRE",PrdAdActif!$D:$D,adProjIteration,PrdAdActif!$I:$I,"2.StratInv")</f>
        <v>0</v>
      </c>
      <c r="J60" s="15">
        <f>SUMIFS(PrdAdActif!$M:$M,PrdAdActif!$B:$B,adProjChocS2,PrdAdActif!$C:$C,adProjScenario,PrdAdActif!$F:$F,adProjCdCanton,PrdAdActif!$G:$G,"MONETAIRE",PrdAdActif!$D:$D,adProjIteration,PrdAdActif!$I:$I,"2.StratInv")</f>
        <v>0</v>
      </c>
      <c r="K60" s="15">
        <f>SUMIFS(PrdAdActif!$M:$M,PrdAdActif!$B:$B,adProjChocS2,PrdAdActif!$C:$C,adProjScenario,PrdAdActif!$F:$F,adProjCdCanton,PrdAdActif!$G:$G,"MONETAIRE",PrdAdActif!$D:$D,adProjIteration,PrdAdActif!$I:$I,"2.StratInv")</f>
        <v>0</v>
      </c>
      <c r="L60" s="15">
        <f>SUMIFS(PrdAdActif!$M:$M,PrdAdActif!$B:$B,adProjChocS2,PrdAdActif!$C:$C,adProjScenario,PrdAdActif!$F:$F,adProjCdCanton,PrdAdActif!$G:$G,"MONETAIRE",PrdAdActif!$D:$D,adProjIteration,PrdAdActif!$I:$I,"2.StratInv")</f>
        <v>0</v>
      </c>
      <c r="M60" s="15">
        <f>SUMIFS(PrdAdActif!$M:$M,PrdAdActif!$B:$B,adProjChocS2,PrdAdActif!$C:$C,adProjScenario,PrdAdActif!$F:$F,adProjCdCanton,PrdAdActif!$G:$G,"MONETAIRE",PrdAdActif!$D:$D,adProjIteration,PrdAdActif!$I:$I,"2.StratInv")</f>
        <v>0</v>
      </c>
      <c r="N60" s="15">
        <f>SUMIFS(PrdAdActif!$M:$M,PrdAdActif!$B:$B,adProjChocS2,PrdAdActif!$C:$C,adProjScenario,PrdAdActif!$F:$F,adProjCdCanton,PrdAdActif!$G:$G,"MONETAIRE",PrdAdActif!$D:$D,adProjIteration,PrdAdActif!$I:$I,"2.StratInv")</f>
        <v>0</v>
      </c>
      <c r="O60" s="15">
        <f>SUMIFS(PrdAdActif!$M:$M,PrdAdActif!$B:$B,adProjChocS2,PrdAdActif!$C:$C,adProjScenario,PrdAdActif!$F:$F,adProjCdCanton,PrdAdActif!$G:$G,"MONETAIRE",PrdAdActif!$D:$D,adProjIteration,PrdAdActif!$I:$I,"2.StratInv")</f>
        <v>0</v>
      </c>
      <c r="P60" s="15">
        <f>SUMIFS(PrdAdActif!$M:$M,PrdAdActif!$B:$B,adProjChocS2,PrdAdActif!$C:$C,adProjScenario,PrdAdActif!$F:$F,adProjCdCanton,PrdAdActif!$G:$G,"MONETAIRE",PrdAdActif!$D:$D,adProjIteration,PrdAdActif!$I:$I,"2.StratInv")</f>
        <v>0</v>
      </c>
      <c r="Q60" s="15">
        <f>SUMIFS(PrdAdActif!$M:$M,PrdAdActif!$B:$B,adProjChocS2,PrdAdActif!$C:$C,adProjScenario,PrdAdActif!$F:$F,adProjCdCanton,PrdAdActif!$G:$G,"MONETAIRE",PrdAdActif!$D:$D,adProjIteration,PrdAdActif!$I:$I,"2.StratInv")</f>
        <v>0</v>
      </c>
      <c r="R60" s="15">
        <f>SUMIFS(PrdAdActif!$M:$M,PrdAdActif!$B:$B,adProjChocS2,PrdAdActif!$C:$C,adProjScenario,PrdAdActif!$F:$F,adProjCdCanton,PrdAdActif!$G:$G,"MONETAIRE",PrdAdActif!$D:$D,adProjIteration,PrdAdActif!$I:$I,"2.StratInv")</f>
        <v>0</v>
      </c>
      <c r="S60" s="15">
        <f>SUMIFS(PrdAdActif!$M:$M,PrdAdActif!$B:$B,adProjChocS2,PrdAdActif!$C:$C,adProjScenario,PrdAdActif!$F:$F,adProjCdCanton,PrdAdActif!$G:$G,"MONETAIRE",PrdAdActif!$D:$D,adProjIteration,PrdAdActif!$I:$I,"2.StratInv")</f>
        <v>0</v>
      </c>
      <c r="T60" s="15">
        <f>SUMIFS(PrdAdActif!$M:$M,PrdAdActif!$B:$B,adProjChocS2,PrdAdActif!$C:$C,adProjScenario,PrdAdActif!$F:$F,adProjCdCanton,PrdAdActif!$G:$G,"MONETAIRE",PrdAdActif!$D:$D,adProjIteration,PrdAdActif!$I:$I,"2.StratInv")</f>
        <v>0</v>
      </c>
      <c r="U60" s="15">
        <f>SUMIFS(PrdAdActif!$M:$M,PrdAdActif!$B:$B,adProjChocS2,PrdAdActif!$C:$C,adProjScenario,PrdAdActif!$F:$F,adProjCdCanton,PrdAdActif!$G:$G,"MONETAIRE",PrdAdActif!$D:$D,adProjIteration,PrdAdActif!$I:$I,"2.StratInv")</f>
        <v>0</v>
      </c>
      <c r="V60" s="15">
        <f>SUMIFS(PrdAdActif!$M:$M,PrdAdActif!$B:$B,adProjChocS2,PrdAdActif!$C:$C,adProjScenario,PrdAdActif!$F:$F,adProjCdCanton,PrdAdActif!$G:$G,"MONETAIRE",PrdAdActif!$D:$D,adProjIteration,PrdAdActif!$I:$I,"2.StratInv")</f>
        <v>0</v>
      </c>
      <c r="W60" s="15">
        <f>SUMIFS(PrdAdActif!$M:$M,PrdAdActif!$B:$B,adProjChocS2,PrdAdActif!$C:$C,adProjScenario,PrdAdActif!$F:$F,adProjCdCanton,PrdAdActif!$G:$G,"MONETAIRE",PrdAdActif!$D:$D,adProjIteration,PrdAdActif!$I:$I,"2.StratInv")</f>
        <v>0</v>
      </c>
      <c r="X60" s="15">
        <f>SUMIFS(PrdAdActif!$M:$M,PrdAdActif!$B:$B,adProjChocS2,PrdAdActif!$C:$C,adProjScenario,PrdAdActif!$F:$F,adProjCdCanton,PrdAdActif!$G:$G,"MONETAIRE",PrdAdActif!$D:$D,adProjIteration,PrdAdActif!$I:$I,"2.StratInv")</f>
        <v>0</v>
      </c>
      <c r="Y60" s="15">
        <f>SUMIFS(PrdAdActif!$M:$M,PrdAdActif!$B:$B,adProjChocS2,PrdAdActif!$C:$C,adProjScenario,PrdAdActif!$F:$F,adProjCdCanton,PrdAdActif!$G:$G,"MONETAIRE",PrdAdActif!$D:$D,adProjIteration,PrdAdActif!$I:$I,"2.StratInv")</f>
        <v>0</v>
      </c>
      <c r="Z60" s="15">
        <f>SUMIFS(PrdAdActif!$M:$M,PrdAdActif!$B:$B,adProjChocS2,PrdAdActif!$C:$C,adProjScenario,PrdAdActif!$F:$F,adProjCdCanton,PrdAdActif!$G:$G,"MONETAIRE",PrdAdActif!$D:$D,adProjIteration,PrdAdActif!$I:$I,"2.StratInv")</f>
        <v>0</v>
      </c>
      <c r="AA60" s="15">
        <f>SUMIFS(PrdAdActif!$M:$M,PrdAdActif!$B:$B,adProjChocS2,PrdAdActif!$C:$C,adProjScenario,PrdAdActif!$F:$F,adProjCdCanton,PrdAdActif!$G:$G,"MONETAIRE",PrdAdActif!$D:$D,adProjIteration,PrdAdActif!$I:$I,"2.StratInv")</f>
        <v>0</v>
      </c>
      <c r="AB60" s="15">
        <f>SUMIFS(PrdAdActif!$M:$M,PrdAdActif!$B:$B,adProjChocS2,PrdAdActif!$C:$C,adProjScenario,PrdAdActif!$F:$F,adProjCdCanton,PrdAdActif!$G:$G,"MONETAIRE",PrdAdActif!$D:$D,adProjIteration,PrdAdActif!$I:$I,"2.StratInv")</f>
        <v>0</v>
      </c>
      <c r="AC60" s="15">
        <f>SUMIFS(PrdAdActif!$M:$M,PrdAdActif!$B:$B,adProjChocS2,PrdAdActif!$C:$C,adProjScenario,PrdAdActif!$F:$F,adProjCdCanton,PrdAdActif!$G:$G,"MONETAIRE",PrdAdActif!$D:$D,adProjIteration,PrdAdActif!$I:$I,"2.StratInv")</f>
        <v>0</v>
      </c>
      <c r="AD60" s="15">
        <f>SUMIFS(PrdAdActif!$M:$M,PrdAdActif!$B:$B,adProjChocS2,PrdAdActif!$C:$C,adProjScenario,PrdAdActif!$F:$F,adProjCdCanton,PrdAdActif!$G:$G,"MONETAIRE",PrdAdActif!$D:$D,adProjIteration,PrdAdActif!$I:$I,"2.StratInv")</f>
        <v>0</v>
      </c>
      <c r="AE60" s="15">
        <f>SUMIFS(PrdAdActif!$M:$M,PrdAdActif!$B:$B,adProjChocS2,PrdAdActif!$C:$C,adProjScenario,PrdAdActif!$F:$F,adProjCdCanton,PrdAdActif!$G:$G,"MONETAIRE",PrdAdActif!$D:$D,adProjIteration,PrdAdActif!$I:$I,"2.StratInv")</f>
        <v>0</v>
      </c>
      <c r="AF60" s="15">
        <f>SUMIFS(PrdAdActif!$M:$M,PrdAdActif!$B:$B,adProjChocS2,PrdAdActif!$C:$C,adProjScenario,PrdAdActif!$F:$F,adProjCdCanton,PrdAdActif!$G:$G,"MONETAIRE",PrdAdActif!$D:$D,adProjIteration,PrdAdActif!$I:$I,"2.StratInv")</f>
        <v>0</v>
      </c>
      <c r="AG60" s="15">
        <f>SUMIFS(PrdAdActif!$M:$M,PrdAdActif!$B:$B,adProjChocS2,PrdAdActif!$C:$C,adProjScenario,PrdAdActif!$F:$F,adProjCdCanton,PrdAdActif!$G:$G,"MONETAIRE",PrdAdActif!$D:$D,adProjIteration,PrdAdActif!$I:$I,"2.StratInv")</f>
        <v>0</v>
      </c>
      <c r="AH60" s="15">
        <f>SUMIFS(PrdAdActif!$M:$M,PrdAdActif!$B:$B,adProjChocS2,PrdAdActif!$C:$C,adProjScenario,PrdAdActif!$F:$F,adProjCdCanton,PrdAdActif!$G:$G,"MONETAIRE",PrdAdActif!$D:$D,adProjIteration,PrdAdActif!$I:$I,"2.StratInv")</f>
        <v>0</v>
      </c>
      <c r="AI60" s="15">
        <f>SUMIFS(PrdAdActif!$M:$M,PrdAdActif!$B:$B,adProjChocS2,PrdAdActif!$C:$C,adProjScenario,PrdAdActif!$F:$F,adProjCdCanton,PrdAdActif!$G:$G,"MONETAIRE",PrdAdActif!$D:$D,adProjIteration,PrdAdActif!$I:$I,"2.StratInv")</f>
        <v>0</v>
      </c>
      <c r="AJ60" s="15">
        <f>SUMIFS(PrdAdActif!$M:$M,PrdAdActif!$B:$B,adProjChocS2,PrdAdActif!$C:$C,adProjScenario,PrdAdActif!$F:$F,adProjCdCanton,PrdAdActif!$G:$G,"MONETAIRE",PrdAdActif!$D:$D,adProjIteration,PrdAdActif!$I:$I,"2.StratInv")</f>
        <v>0</v>
      </c>
      <c r="AK60" s="15">
        <f>SUMIFS(PrdAdActif!$M:$M,PrdAdActif!$B:$B,adProjChocS2,PrdAdActif!$C:$C,adProjScenario,PrdAdActif!$F:$F,adProjCdCanton,PrdAdActif!$G:$G,"MONETAIRE",PrdAdActif!$D:$D,adProjIteration,PrdAdActif!$I:$I,"2.StratInv")</f>
        <v>0</v>
      </c>
      <c r="AL60" s="15">
        <f>SUMIFS(PrdAdActif!$M:$M,PrdAdActif!$B:$B,adProjChocS2,PrdAdActif!$C:$C,adProjScenario,PrdAdActif!$F:$F,adProjCdCanton,PrdAdActif!$G:$G,"MONETAIRE",PrdAdActif!$D:$D,adProjIteration,PrdAdActif!$I:$I,"2.StratInv")</f>
        <v>0</v>
      </c>
      <c r="AM60" s="15">
        <f>SUMIFS(PrdAdActif!$M:$M,PrdAdActif!$B:$B,adProjChocS2,PrdAdActif!$C:$C,adProjScenario,PrdAdActif!$F:$F,adProjCdCanton,PrdAdActif!$G:$G,"MONETAIRE",PrdAdActif!$D:$D,adProjIteration,PrdAdActif!$I:$I,"2.StratInv")</f>
        <v>0</v>
      </c>
      <c r="AN60" s="15">
        <f>SUMIFS(PrdAdActif!$M:$M,PrdAdActif!$B:$B,adProjChocS2,PrdAdActif!$C:$C,adProjScenario,PrdAdActif!$F:$F,adProjCdCanton,PrdAdActif!$G:$G,"MONETAIRE",PrdAdActif!$D:$D,adProjIteration,PrdAdActif!$I:$I,"2.StratInv")</f>
        <v>0</v>
      </c>
      <c r="AO60" s="15">
        <f>SUMIFS(PrdAdActif!$M:$M,PrdAdActif!$B:$B,adProjChocS2,PrdAdActif!$C:$C,adProjScenario,PrdAdActif!$F:$F,adProjCdCanton,PrdAdActif!$G:$G,"MONETAIRE",PrdAdActif!$D:$D,adProjIteration,PrdAdActif!$I:$I,"2.StratInv")</f>
        <v>0</v>
      </c>
      <c r="AP60" s="15">
        <f>SUMIFS(PrdAdActif!$M:$M,PrdAdActif!$B:$B,adProjChocS2,PrdAdActif!$C:$C,adProjScenario,PrdAdActif!$F:$F,adProjCdCanton,PrdAdActif!$G:$G,"MONETAIRE",PrdAdActif!$D:$D,adProjIteration,PrdAdActif!$I:$I,"2.StratInv")</f>
        <v>0</v>
      </c>
      <c r="AQ60" s="15">
        <f>SUMIFS(PrdAdActif!$M:$M,PrdAdActif!$B:$B,adProjChocS2,PrdAdActif!$C:$C,adProjScenario,PrdAdActif!$F:$F,adProjCdCanton,PrdAdActif!$G:$G,"MONETAIRE",PrdAdActif!$D:$D,adProjIteration,PrdAdActif!$I:$I,"2.StratInv")</f>
        <v>0</v>
      </c>
      <c r="AR60" s="15">
        <f>SUMIFS(PrdAdActif!$M:$M,PrdAdActif!$B:$B,adProjChocS2,PrdAdActif!$C:$C,adProjScenario,PrdAdActif!$F:$F,adProjCdCanton,PrdAdActif!$G:$G,"MONETAIRE",PrdAdActif!$D:$D,adProjIteration,PrdAdActif!$I:$I,"2.StratInv")</f>
        <v>0</v>
      </c>
      <c r="AS60" s="15">
        <f>SUMIFS(PrdAdActif!$M:$M,PrdAdActif!$B:$B,adProjChocS2,PrdAdActif!$C:$C,adProjScenario,PrdAdActif!$F:$F,adProjCdCanton,PrdAdActif!$G:$G,"MONETAIRE",PrdAdActif!$D:$D,adProjIteration,PrdAdActif!$I:$I,"2.StratInv")</f>
        <v>0</v>
      </c>
      <c r="AT60" s="15">
        <f>SUMIFS(PrdAdActif!$M:$M,PrdAdActif!$B:$B,adProjChocS2,PrdAdActif!$C:$C,adProjScenario,PrdAdActif!$F:$F,adProjCdCanton,PrdAdActif!$G:$G,"MONETAIRE",PrdAdActif!$D:$D,adProjIteration,PrdAdActif!$I:$I,"2.StratInv")</f>
        <v>0</v>
      </c>
      <c r="AU60" s="15">
        <f>SUMIFS(PrdAdActif!$M:$M,PrdAdActif!$B:$B,adProjChocS2,PrdAdActif!$C:$C,adProjScenario,PrdAdActif!$F:$F,adProjCdCanton,PrdAdActif!$G:$G,"MONETAIRE",PrdAdActif!$D:$D,adProjIteration,PrdAdActif!$I:$I,"2.StratInv")</f>
        <v>0</v>
      </c>
      <c r="AV60" s="15">
        <f>SUMIFS(PrdAdActif!$M:$M,PrdAdActif!$B:$B,adProjChocS2,PrdAdActif!$C:$C,adProjScenario,PrdAdActif!$F:$F,adProjCdCanton,PrdAdActif!$G:$G,"MONETAIRE",PrdAdActif!$D:$D,adProjIteration,PrdAdActif!$I:$I,"2.StratInv")</f>
        <v>0</v>
      </c>
      <c r="AW60" s="15">
        <f>SUMIFS(PrdAdActif!$M:$M,PrdAdActif!$B:$B,adProjChocS2,PrdAdActif!$C:$C,adProjScenario,PrdAdActif!$F:$F,adProjCdCanton,PrdAdActif!$G:$G,"MONETAIRE",PrdAdActif!$D:$D,adProjIteration,PrdAdActif!$I:$I,"2.StratInv")</f>
        <v>0</v>
      </c>
      <c r="AX60" s="15">
        <f>SUMIFS(PrdAdActif!$M:$M,PrdAdActif!$B:$B,adProjChocS2,PrdAdActif!$C:$C,adProjScenario,PrdAdActif!$F:$F,adProjCdCanton,PrdAdActif!$G:$G,"MONETAIRE",PrdAdActif!$D:$D,adProjIteration,PrdAdActif!$I:$I,"2.StratInv")</f>
        <v>0</v>
      </c>
      <c r="AY60" s="15">
        <f>SUMIFS(PrdAdActif!$M:$M,PrdAdActif!$B:$B,adProjChocS2,PrdAdActif!$C:$C,adProjScenario,PrdAdActif!$F:$F,adProjCdCanton,PrdAdActif!$G:$G,"MONETAIRE",PrdAdActif!$D:$D,adProjIteration,PrdAdActif!$I:$I,"2.StratInv")</f>
        <v>0</v>
      </c>
      <c r="AZ60" s="15">
        <f>SUMIFS(PrdAdActif!$M:$M,PrdAdActif!$B:$B,adProjChocS2,PrdAdActif!$C:$C,adProjScenario,PrdAdActif!$F:$F,adProjCdCanton,PrdAdActif!$G:$G,"MONETAIRE",PrdAdActif!$D:$D,adProjIteration,PrdAdActif!$I:$I,"2.StratInv")</f>
        <v>0</v>
      </c>
      <c r="BA60" s="15">
        <f>SUMIFS(PrdAdActif!$M:$M,PrdAdActif!$B:$B,adProjChocS2,PrdAdActif!$C:$C,adProjScenario,PrdAdActif!$F:$F,adProjCdCanton,PrdAdActif!$G:$G,"MONETAIRE",PrdAdActif!$D:$D,adProjIteration,PrdAdActif!$I:$I,"2.StratInv")</f>
        <v>0</v>
      </c>
      <c r="BB60" s="15">
        <f>SUMIFS(PrdAdActif!$M:$M,PrdAdActif!$B:$B,adProjChocS2,PrdAdActif!$C:$C,adProjScenario,PrdAdActif!$F:$F,adProjCdCanton,PrdAdActif!$G:$G,"MONETAIRE",PrdAdActif!$D:$D,adProjIteration,PrdAdActif!$I:$I,"2.StratInv")</f>
        <v>0</v>
      </c>
    </row>
    <row r="61" spans="2:54" ht="16.5" x14ac:dyDescent="0.3">
      <c r="B61" s="17"/>
      <c r="C61" s="14" t="s">
        <v>51</v>
      </c>
      <c r="D61" s="15">
        <f t="shared" ref="D61:BB61" si="17">SUM(D57:D60)</f>
        <v>0</v>
      </c>
      <c r="E61" s="15">
        <f t="shared" si="17"/>
        <v>0</v>
      </c>
      <c r="F61" s="15">
        <f t="shared" si="17"/>
        <v>0</v>
      </c>
      <c r="G61" s="15">
        <f t="shared" si="17"/>
        <v>0</v>
      </c>
      <c r="H61" s="15">
        <f t="shared" si="17"/>
        <v>0</v>
      </c>
      <c r="I61" s="15">
        <f t="shared" si="17"/>
        <v>0</v>
      </c>
      <c r="J61" s="15">
        <f t="shared" si="17"/>
        <v>0</v>
      </c>
      <c r="K61" s="15">
        <f t="shared" si="17"/>
        <v>0</v>
      </c>
      <c r="L61" s="15">
        <f t="shared" si="17"/>
        <v>0</v>
      </c>
      <c r="M61" s="15">
        <f t="shared" si="17"/>
        <v>0</v>
      </c>
      <c r="N61" s="15">
        <f t="shared" si="17"/>
        <v>0</v>
      </c>
      <c r="O61" s="15">
        <f t="shared" si="17"/>
        <v>0</v>
      </c>
      <c r="P61" s="15">
        <f t="shared" si="17"/>
        <v>0</v>
      </c>
      <c r="Q61" s="15">
        <f t="shared" si="17"/>
        <v>0</v>
      </c>
      <c r="R61" s="15">
        <f t="shared" si="17"/>
        <v>0</v>
      </c>
      <c r="S61" s="15">
        <f t="shared" si="17"/>
        <v>0</v>
      </c>
      <c r="T61" s="15">
        <f t="shared" si="17"/>
        <v>0</v>
      </c>
      <c r="U61" s="15">
        <f t="shared" si="17"/>
        <v>0</v>
      </c>
      <c r="V61" s="15">
        <f t="shared" si="17"/>
        <v>0</v>
      </c>
      <c r="W61" s="15">
        <f t="shared" si="17"/>
        <v>0</v>
      </c>
      <c r="X61" s="15">
        <f t="shared" si="17"/>
        <v>0</v>
      </c>
      <c r="Y61" s="15">
        <f t="shared" si="17"/>
        <v>0</v>
      </c>
      <c r="Z61" s="15">
        <f t="shared" si="17"/>
        <v>0</v>
      </c>
      <c r="AA61" s="15">
        <f t="shared" si="17"/>
        <v>0</v>
      </c>
      <c r="AB61" s="15">
        <f t="shared" si="17"/>
        <v>0</v>
      </c>
      <c r="AC61" s="15">
        <f t="shared" si="17"/>
        <v>0</v>
      </c>
      <c r="AD61" s="15">
        <f t="shared" si="17"/>
        <v>0</v>
      </c>
      <c r="AE61" s="15">
        <f t="shared" si="17"/>
        <v>0</v>
      </c>
      <c r="AF61" s="15">
        <f t="shared" si="17"/>
        <v>0</v>
      </c>
      <c r="AG61" s="15">
        <f t="shared" si="17"/>
        <v>0</v>
      </c>
      <c r="AH61" s="15">
        <f t="shared" si="17"/>
        <v>0</v>
      </c>
      <c r="AI61" s="15">
        <f t="shared" si="17"/>
        <v>0</v>
      </c>
      <c r="AJ61" s="15">
        <f t="shared" si="17"/>
        <v>0</v>
      </c>
      <c r="AK61" s="15">
        <f t="shared" si="17"/>
        <v>0</v>
      </c>
      <c r="AL61" s="15">
        <f t="shared" si="17"/>
        <v>0</v>
      </c>
      <c r="AM61" s="15">
        <f t="shared" si="17"/>
        <v>0</v>
      </c>
      <c r="AN61" s="15">
        <f t="shared" si="17"/>
        <v>0</v>
      </c>
      <c r="AO61" s="15">
        <f t="shared" si="17"/>
        <v>0</v>
      </c>
      <c r="AP61" s="15">
        <f t="shared" si="17"/>
        <v>0</v>
      </c>
      <c r="AQ61" s="15">
        <f t="shared" si="17"/>
        <v>0</v>
      </c>
      <c r="AR61" s="15">
        <f t="shared" si="17"/>
        <v>0</v>
      </c>
      <c r="AS61" s="15">
        <f t="shared" si="17"/>
        <v>0</v>
      </c>
      <c r="AT61" s="15">
        <f t="shared" si="17"/>
        <v>0</v>
      </c>
      <c r="AU61" s="15">
        <f t="shared" si="17"/>
        <v>0</v>
      </c>
      <c r="AV61" s="15">
        <f t="shared" si="17"/>
        <v>0</v>
      </c>
      <c r="AW61" s="15">
        <f t="shared" si="17"/>
        <v>0</v>
      </c>
      <c r="AX61" s="15">
        <f t="shared" si="17"/>
        <v>0</v>
      </c>
      <c r="AY61" s="15">
        <f t="shared" si="17"/>
        <v>0</v>
      </c>
      <c r="AZ61" s="15">
        <f t="shared" si="17"/>
        <v>0</v>
      </c>
      <c r="BA61" s="15">
        <f t="shared" si="17"/>
        <v>0</v>
      </c>
      <c r="BB61" s="15">
        <f t="shared" si="17"/>
        <v>0</v>
      </c>
    </row>
    <row r="62" spans="2:54" ht="16.5" x14ac:dyDescent="0.3">
      <c r="B62" s="17"/>
      <c r="C62" s="14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</row>
    <row r="63" spans="2:54" ht="16.5" x14ac:dyDescent="0.3">
      <c r="B63" s="17"/>
      <c r="C63" s="14" t="s">
        <v>52</v>
      </c>
      <c r="D63" s="25">
        <f>IF(D$77=0, 0,D73/D$77)</f>
        <v>0</v>
      </c>
      <c r="E63" s="25">
        <f t="shared" ref="E63:AJ63" si="18">IF(adVmStratInvTot=0, 0,adVmStratInvObligation/adVmStratInvTot)</f>
        <v>0</v>
      </c>
      <c r="F63" s="25">
        <f t="shared" si="18"/>
        <v>0</v>
      </c>
      <c r="G63" s="25">
        <f t="shared" si="18"/>
        <v>0</v>
      </c>
      <c r="H63" s="25">
        <f t="shared" si="18"/>
        <v>0</v>
      </c>
      <c r="I63" s="25">
        <f t="shared" si="18"/>
        <v>0</v>
      </c>
      <c r="J63" s="25">
        <f t="shared" si="18"/>
        <v>0</v>
      </c>
      <c r="K63" s="25">
        <f t="shared" si="18"/>
        <v>0</v>
      </c>
      <c r="L63" s="25">
        <f t="shared" si="18"/>
        <v>0</v>
      </c>
      <c r="M63" s="25">
        <f t="shared" si="18"/>
        <v>0</v>
      </c>
      <c r="N63" s="25">
        <f t="shared" si="18"/>
        <v>0</v>
      </c>
      <c r="O63" s="25">
        <f t="shared" si="18"/>
        <v>0</v>
      </c>
      <c r="P63" s="25">
        <f t="shared" si="18"/>
        <v>0</v>
      </c>
      <c r="Q63" s="25">
        <f t="shared" si="18"/>
        <v>0</v>
      </c>
      <c r="R63" s="25">
        <f t="shared" si="18"/>
        <v>0</v>
      </c>
      <c r="S63" s="25">
        <f t="shared" si="18"/>
        <v>0</v>
      </c>
      <c r="T63" s="25">
        <f t="shared" si="18"/>
        <v>0</v>
      </c>
      <c r="U63" s="25">
        <f t="shared" si="18"/>
        <v>0</v>
      </c>
      <c r="V63" s="25">
        <f t="shared" si="18"/>
        <v>0</v>
      </c>
      <c r="W63" s="25">
        <f t="shared" si="18"/>
        <v>0</v>
      </c>
      <c r="X63" s="25">
        <f t="shared" si="18"/>
        <v>0</v>
      </c>
      <c r="Y63" s="25">
        <f t="shared" si="18"/>
        <v>0</v>
      </c>
      <c r="Z63" s="25">
        <f t="shared" si="18"/>
        <v>0</v>
      </c>
      <c r="AA63" s="25">
        <f t="shared" si="18"/>
        <v>0</v>
      </c>
      <c r="AB63" s="25">
        <f t="shared" si="18"/>
        <v>0</v>
      </c>
      <c r="AC63" s="25">
        <f t="shared" si="18"/>
        <v>0</v>
      </c>
      <c r="AD63" s="25">
        <f t="shared" si="18"/>
        <v>0</v>
      </c>
      <c r="AE63" s="25">
        <f t="shared" si="18"/>
        <v>0</v>
      </c>
      <c r="AF63" s="25">
        <f t="shared" si="18"/>
        <v>0</v>
      </c>
      <c r="AG63" s="25">
        <f t="shared" si="18"/>
        <v>0</v>
      </c>
      <c r="AH63" s="25">
        <f t="shared" si="18"/>
        <v>0</v>
      </c>
      <c r="AI63" s="25">
        <f t="shared" si="18"/>
        <v>0</v>
      </c>
      <c r="AJ63" s="25">
        <f t="shared" si="18"/>
        <v>0</v>
      </c>
      <c r="AK63" s="25">
        <f t="shared" ref="AK63:BB63" si="19">IF(adVmStratInvTot=0, 0,adVmStratInvObligation/adVmStratInvTot)</f>
        <v>0</v>
      </c>
      <c r="AL63" s="25">
        <f t="shared" si="19"/>
        <v>0</v>
      </c>
      <c r="AM63" s="25">
        <f t="shared" si="19"/>
        <v>0</v>
      </c>
      <c r="AN63" s="25">
        <f t="shared" si="19"/>
        <v>0</v>
      </c>
      <c r="AO63" s="25">
        <f t="shared" si="19"/>
        <v>0</v>
      </c>
      <c r="AP63" s="25">
        <f t="shared" si="19"/>
        <v>0</v>
      </c>
      <c r="AQ63" s="25">
        <f t="shared" si="19"/>
        <v>0</v>
      </c>
      <c r="AR63" s="25">
        <f t="shared" si="19"/>
        <v>0</v>
      </c>
      <c r="AS63" s="25">
        <f t="shared" si="19"/>
        <v>0</v>
      </c>
      <c r="AT63" s="25">
        <f t="shared" si="19"/>
        <v>0</v>
      </c>
      <c r="AU63" s="25">
        <f t="shared" si="19"/>
        <v>0</v>
      </c>
      <c r="AV63" s="25">
        <f t="shared" si="19"/>
        <v>0</v>
      </c>
      <c r="AW63" s="25">
        <f t="shared" si="19"/>
        <v>0</v>
      </c>
      <c r="AX63" s="25">
        <f t="shared" si="19"/>
        <v>0</v>
      </c>
      <c r="AY63" s="25">
        <f t="shared" si="19"/>
        <v>0</v>
      </c>
      <c r="AZ63" s="25">
        <f t="shared" si="19"/>
        <v>0</v>
      </c>
      <c r="BA63" s="25">
        <f t="shared" si="19"/>
        <v>0</v>
      </c>
      <c r="BB63" s="25">
        <f t="shared" si="19"/>
        <v>0</v>
      </c>
    </row>
    <row r="64" spans="2:54" ht="16.5" x14ac:dyDescent="0.3">
      <c r="B64" s="17"/>
      <c r="C64" s="14" t="s">
        <v>53</v>
      </c>
      <c r="D64" s="25">
        <f t="shared" ref="D64:D66" si="20">IF(D$77=0, 0,D74/D$77)</f>
        <v>0</v>
      </c>
      <c r="E64" s="25">
        <f t="shared" ref="E64:AJ64" si="21">IF(adVmStratInvTot=0, 0,adVmStratInvImmobilier/adVmStratInvTot)</f>
        <v>0</v>
      </c>
      <c r="F64" s="25">
        <f t="shared" si="21"/>
        <v>0</v>
      </c>
      <c r="G64" s="25">
        <f t="shared" si="21"/>
        <v>0</v>
      </c>
      <c r="H64" s="25">
        <f t="shared" si="21"/>
        <v>0</v>
      </c>
      <c r="I64" s="25">
        <f t="shared" si="21"/>
        <v>0</v>
      </c>
      <c r="J64" s="25">
        <f t="shared" si="21"/>
        <v>0</v>
      </c>
      <c r="K64" s="25">
        <f t="shared" si="21"/>
        <v>0</v>
      </c>
      <c r="L64" s="25">
        <f t="shared" si="21"/>
        <v>0</v>
      </c>
      <c r="M64" s="25">
        <f t="shared" si="21"/>
        <v>0</v>
      </c>
      <c r="N64" s="25">
        <f t="shared" si="21"/>
        <v>0</v>
      </c>
      <c r="O64" s="25">
        <f t="shared" si="21"/>
        <v>0</v>
      </c>
      <c r="P64" s="25">
        <f t="shared" si="21"/>
        <v>0</v>
      </c>
      <c r="Q64" s="25">
        <f t="shared" si="21"/>
        <v>0</v>
      </c>
      <c r="R64" s="25">
        <f t="shared" si="21"/>
        <v>0</v>
      </c>
      <c r="S64" s="25">
        <f t="shared" si="21"/>
        <v>0</v>
      </c>
      <c r="T64" s="25">
        <f t="shared" si="21"/>
        <v>0</v>
      </c>
      <c r="U64" s="25">
        <f t="shared" si="21"/>
        <v>0</v>
      </c>
      <c r="V64" s="25">
        <f t="shared" si="21"/>
        <v>0</v>
      </c>
      <c r="W64" s="25">
        <f t="shared" si="21"/>
        <v>0</v>
      </c>
      <c r="X64" s="25">
        <f t="shared" si="21"/>
        <v>0</v>
      </c>
      <c r="Y64" s="25">
        <f t="shared" si="21"/>
        <v>0</v>
      </c>
      <c r="Z64" s="25">
        <f t="shared" si="21"/>
        <v>0</v>
      </c>
      <c r="AA64" s="25">
        <f t="shared" si="21"/>
        <v>0</v>
      </c>
      <c r="AB64" s="25">
        <f t="shared" si="21"/>
        <v>0</v>
      </c>
      <c r="AC64" s="25">
        <f t="shared" si="21"/>
        <v>0</v>
      </c>
      <c r="AD64" s="25">
        <f t="shared" si="21"/>
        <v>0</v>
      </c>
      <c r="AE64" s="25">
        <f t="shared" si="21"/>
        <v>0</v>
      </c>
      <c r="AF64" s="25">
        <f t="shared" si="21"/>
        <v>0</v>
      </c>
      <c r="AG64" s="25">
        <f t="shared" si="21"/>
        <v>0</v>
      </c>
      <c r="AH64" s="25">
        <f t="shared" si="21"/>
        <v>0</v>
      </c>
      <c r="AI64" s="25">
        <f t="shared" si="21"/>
        <v>0</v>
      </c>
      <c r="AJ64" s="25">
        <f t="shared" si="21"/>
        <v>0</v>
      </c>
      <c r="AK64" s="25">
        <f t="shared" ref="AK64:BB64" si="22">IF(adVmStratInvTot=0, 0,adVmStratInvImmobilier/adVmStratInvTot)</f>
        <v>0</v>
      </c>
      <c r="AL64" s="25">
        <f t="shared" si="22"/>
        <v>0</v>
      </c>
      <c r="AM64" s="25">
        <f t="shared" si="22"/>
        <v>0</v>
      </c>
      <c r="AN64" s="25">
        <f t="shared" si="22"/>
        <v>0</v>
      </c>
      <c r="AO64" s="25">
        <f t="shared" si="22"/>
        <v>0</v>
      </c>
      <c r="AP64" s="25">
        <f t="shared" si="22"/>
        <v>0</v>
      </c>
      <c r="AQ64" s="25">
        <f t="shared" si="22"/>
        <v>0</v>
      </c>
      <c r="AR64" s="25">
        <f t="shared" si="22"/>
        <v>0</v>
      </c>
      <c r="AS64" s="25">
        <f t="shared" si="22"/>
        <v>0</v>
      </c>
      <c r="AT64" s="25">
        <f t="shared" si="22"/>
        <v>0</v>
      </c>
      <c r="AU64" s="25">
        <f t="shared" si="22"/>
        <v>0</v>
      </c>
      <c r="AV64" s="25">
        <f t="shared" si="22"/>
        <v>0</v>
      </c>
      <c r="AW64" s="25">
        <f t="shared" si="22"/>
        <v>0</v>
      </c>
      <c r="AX64" s="25">
        <f t="shared" si="22"/>
        <v>0</v>
      </c>
      <c r="AY64" s="25">
        <f t="shared" si="22"/>
        <v>0</v>
      </c>
      <c r="AZ64" s="25">
        <f t="shared" si="22"/>
        <v>0</v>
      </c>
      <c r="BA64" s="25">
        <f t="shared" si="22"/>
        <v>0</v>
      </c>
      <c r="BB64" s="25">
        <f t="shared" si="22"/>
        <v>0</v>
      </c>
    </row>
    <row r="65" spans="1:55" ht="16.5" x14ac:dyDescent="0.3">
      <c r="B65" s="17"/>
      <c r="C65" s="14" t="s">
        <v>54</v>
      </c>
      <c r="D65" s="25">
        <f t="shared" si="20"/>
        <v>0</v>
      </c>
      <c r="E65" s="25">
        <f t="shared" ref="E65:AJ65" si="23">IF(adVmStratInvTot=0, 0,adVmStratInvAction/adVmStratInvTot)</f>
        <v>0</v>
      </c>
      <c r="F65" s="25">
        <f t="shared" si="23"/>
        <v>0</v>
      </c>
      <c r="G65" s="25">
        <f t="shared" si="23"/>
        <v>0</v>
      </c>
      <c r="H65" s="25">
        <f t="shared" si="23"/>
        <v>0</v>
      </c>
      <c r="I65" s="25">
        <f t="shared" si="23"/>
        <v>0</v>
      </c>
      <c r="J65" s="25">
        <f t="shared" si="23"/>
        <v>0</v>
      </c>
      <c r="K65" s="25">
        <f t="shared" si="23"/>
        <v>0</v>
      </c>
      <c r="L65" s="25">
        <f t="shared" si="23"/>
        <v>0</v>
      </c>
      <c r="M65" s="25">
        <f t="shared" si="23"/>
        <v>0</v>
      </c>
      <c r="N65" s="25">
        <f t="shared" si="23"/>
        <v>0</v>
      </c>
      <c r="O65" s="25">
        <f t="shared" si="23"/>
        <v>0</v>
      </c>
      <c r="P65" s="25">
        <f t="shared" si="23"/>
        <v>0</v>
      </c>
      <c r="Q65" s="25">
        <f t="shared" si="23"/>
        <v>0</v>
      </c>
      <c r="R65" s="25">
        <f t="shared" si="23"/>
        <v>0</v>
      </c>
      <c r="S65" s="25">
        <f t="shared" si="23"/>
        <v>0</v>
      </c>
      <c r="T65" s="25">
        <f t="shared" si="23"/>
        <v>0</v>
      </c>
      <c r="U65" s="25">
        <f t="shared" si="23"/>
        <v>0</v>
      </c>
      <c r="V65" s="25">
        <f t="shared" si="23"/>
        <v>0</v>
      </c>
      <c r="W65" s="25">
        <f t="shared" si="23"/>
        <v>0</v>
      </c>
      <c r="X65" s="25">
        <f t="shared" si="23"/>
        <v>0</v>
      </c>
      <c r="Y65" s="25">
        <f t="shared" si="23"/>
        <v>0</v>
      </c>
      <c r="Z65" s="25">
        <f t="shared" si="23"/>
        <v>0</v>
      </c>
      <c r="AA65" s="25">
        <f t="shared" si="23"/>
        <v>0</v>
      </c>
      <c r="AB65" s="25">
        <f t="shared" si="23"/>
        <v>0</v>
      </c>
      <c r="AC65" s="25">
        <f t="shared" si="23"/>
        <v>0</v>
      </c>
      <c r="AD65" s="25">
        <f t="shared" si="23"/>
        <v>0</v>
      </c>
      <c r="AE65" s="25">
        <f t="shared" si="23"/>
        <v>0</v>
      </c>
      <c r="AF65" s="25">
        <f t="shared" si="23"/>
        <v>0</v>
      </c>
      <c r="AG65" s="25">
        <f t="shared" si="23"/>
        <v>0</v>
      </c>
      <c r="AH65" s="25">
        <f t="shared" si="23"/>
        <v>0</v>
      </c>
      <c r="AI65" s="25">
        <f t="shared" si="23"/>
        <v>0</v>
      </c>
      <c r="AJ65" s="25">
        <f t="shared" si="23"/>
        <v>0</v>
      </c>
      <c r="AK65" s="25">
        <f t="shared" ref="AK65:BB65" si="24">IF(adVmStratInvTot=0, 0,adVmStratInvAction/adVmStratInvTot)</f>
        <v>0</v>
      </c>
      <c r="AL65" s="25">
        <f t="shared" si="24"/>
        <v>0</v>
      </c>
      <c r="AM65" s="25">
        <f t="shared" si="24"/>
        <v>0</v>
      </c>
      <c r="AN65" s="25">
        <f t="shared" si="24"/>
        <v>0</v>
      </c>
      <c r="AO65" s="25">
        <f t="shared" si="24"/>
        <v>0</v>
      </c>
      <c r="AP65" s="25">
        <f t="shared" si="24"/>
        <v>0</v>
      </c>
      <c r="AQ65" s="25">
        <f t="shared" si="24"/>
        <v>0</v>
      </c>
      <c r="AR65" s="25">
        <f t="shared" si="24"/>
        <v>0</v>
      </c>
      <c r="AS65" s="25">
        <f t="shared" si="24"/>
        <v>0</v>
      </c>
      <c r="AT65" s="25">
        <f t="shared" si="24"/>
        <v>0</v>
      </c>
      <c r="AU65" s="25">
        <f t="shared" si="24"/>
        <v>0</v>
      </c>
      <c r="AV65" s="25">
        <f t="shared" si="24"/>
        <v>0</v>
      </c>
      <c r="AW65" s="25">
        <f t="shared" si="24"/>
        <v>0</v>
      </c>
      <c r="AX65" s="25">
        <f t="shared" si="24"/>
        <v>0</v>
      </c>
      <c r="AY65" s="25">
        <f t="shared" si="24"/>
        <v>0</v>
      </c>
      <c r="AZ65" s="25">
        <f t="shared" si="24"/>
        <v>0</v>
      </c>
      <c r="BA65" s="25">
        <f t="shared" si="24"/>
        <v>0</v>
      </c>
      <c r="BB65" s="25">
        <f t="shared" si="24"/>
        <v>0</v>
      </c>
    </row>
    <row r="66" spans="1:55" ht="16.5" x14ac:dyDescent="0.3">
      <c r="B66" s="17"/>
      <c r="C66" s="14" t="s">
        <v>55</v>
      </c>
      <c r="D66" s="25">
        <f t="shared" si="20"/>
        <v>0</v>
      </c>
      <c r="E66" s="25">
        <f t="shared" ref="E66:AJ66" si="25">IF(adVmStratInvTot=0, 0,adVmStratInvCash/adVmStratInvTot)</f>
        <v>0</v>
      </c>
      <c r="F66" s="25">
        <f t="shared" si="25"/>
        <v>0</v>
      </c>
      <c r="G66" s="25">
        <f t="shared" si="25"/>
        <v>0</v>
      </c>
      <c r="H66" s="25">
        <f t="shared" si="25"/>
        <v>0</v>
      </c>
      <c r="I66" s="25">
        <f t="shared" si="25"/>
        <v>0</v>
      </c>
      <c r="J66" s="25">
        <f t="shared" si="25"/>
        <v>0</v>
      </c>
      <c r="K66" s="25">
        <f t="shared" si="25"/>
        <v>0</v>
      </c>
      <c r="L66" s="25">
        <f t="shared" si="25"/>
        <v>0</v>
      </c>
      <c r="M66" s="25">
        <f t="shared" si="25"/>
        <v>0</v>
      </c>
      <c r="N66" s="25">
        <f t="shared" si="25"/>
        <v>0</v>
      </c>
      <c r="O66" s="25">
        <f t="shared" si="25"/>
        <v>0</v>
      </c>
      <c r="P66" s="25">
        <f t="shared" si="25"/>
        <v>0</v>
      </c>
      <c r="Q66" s="25">
        <f t="shared" si="25"/>
        <v>0</v>
      </c>
      <c r="R66" s="25">
        <f t="shared" si="25"/>
        <v>0</v>
      </c>
      <c r="S66" s="25">
        <f t="shared" si="25"/>
        <v>0</v>
      </c>
      <c r="T66" s="25">
        <f t="shared" si="25"/>
        <v>0</v>
      </c>
      <c r="U66" s="25">
        <f t="shared" si="25"/>
        <v>0</v>
      </c>
      <c r="V66" s="25">
        <f t="shared" si="25"/>
        <v>0</v>
      </c>
      <c r="W66" s="25">
        <f t="shared" si="25"/>
        <v>0</v>
      </c>
      <c r="X66" s="25">
        <f t="shared" si="25"/>
        <v>0</v>
      </c>
      <c r="Y66" s="25">
        <f t="shared" si="25"/>
        <v>0</v>
      </c>
      <c r="Z66" s="25">
        <f t="shared" si="25"/>
        <v>0</v>
      </c>
      <c r="AA66" s="25">
        <f t="shared" si="25"/>
        <v>0</v>
      </c>
      <c r="AB66" s="25">
        <f t="shared" si="25"/>
        <v>0</v>
      </c>
      <c r="AC66" s="25">
        <f t="shared" si="25"/>
        <v>0</v>
      </c>
      <c r="AD66" s="25">
        <f t="shared" si="25"/>
        <v>0</v>
      </c>
      <c r="AE66" s="25">
        <f t="shared" si="25"/>
        <v>0</v>
      </c>
      <c r="AF66" s="25">
        <f t="shared" si="25"/>
        <v>0</v>
      </c>
      <c r="AG66" s="25">
        <f t="shared" si="25"/>
        <v>0</v>
      </c>
      <c r="AH66" s="25">
        <f t="shared" si="25"/>
        <v>0</v>
      </c>
      <c r="AI66" s="25">
        <f t="shared" si="25"/>
        <v>0</v>
      </c>
      <c r="AJ66" s="25">
        <f t="shared" si="25"/>
        <v>0</v>
      </c>
      <c r="AK66" s="25">
        <f t="shared" ref="AK66:BB66" si="26">IF(adVmStratInvTot=0, 0,adVmStratInvCash/adVmStratInvTot)</f>
        <v>0</v>
      </c>
      <c r="AL66" s="25">
        <f t="shared" si="26"/>
        <v>0</v>
      </c>
      <c r="AM66" s="25">
        <f t="shared" si="26"/>
        <v>0</v>
      </c>
      <c r="AN66" s="25">
        <f t="shared" si="26"/>
        <v>0</v>
      </c>
      <c r="AO66" s="25">
        <f t="shared" si="26"/>
        <v>0</v>
      </c>
      <c r="AP66" s="25">
        <f t="shared" si="26"/>
        <v>0</v>
      </c>
      <c r="AQ66" s="25">
        <f t="shared" si="26"/>
        <v>0</v>
      </c>
      <c r="AR66" s="25">
        <f t="shared" si="26"/>
        <v>0</v>
      </c>
      <c r="AS66" s="25">
        <f t="shared" si="26"/>
        <v>0</v>
      </c>
      <c r="AT66" s="25">
        <f t="shared" si="26"/>
        <v>0</v>
      </c>
      <c r="AU66" s="25">
        <f t="shared" si="26"/>
        <v>0</v>
      </c>
      <c r="AV66" s="25">
        <f t="shared" si="26"/>
        <v>0</v>
      </c>
      <c r="AW66" s="25">
        <f t="shared" si="26"/>
        <v>0</v>
      </c>
      <c r="AX66" s="25">
        <f t="shared" si="26"/>
        <v>0</v>
      </c>
      <c r="AY66" s="25">
        <f t="shared" si="26"/>
        <v>0</v>
      </c>
      <c r="AZ66" s="25">
        <f t="shared" si="26"/>
        <v>0</v>
      </c>
      <c r="BA66" s="25">
        <f t="shared" si="26"/>
        <v>0</v>
      </c>
      <c r="BB66" s="25">
        <f t="shared" si="26"/>
        <v>0</v>
      </c>
    </row>
    <row r="67" spans="1:55" ht="16.5" x14ac:dyDescent="0.3">
      <c r="B67" s="17"/>
      <c r="C67" s="19" t="s">
        <v>56</v>
      </c>
      <c r="D67" s="20" t="b">
        <f>AND(E67:BB67)</f>
        <v>1</v>
      </c>
      <c r="E67" s="20" t="b">
        <f>IF(AND(E61&gt;=0,adProjIteration&lt;=adProjHorizon),ABS(E63-SUMIFS(#REF!,#REF!,adProjCdCanton,#REF!,"OBLIGATION"))&lt;0.0001,TRUE)</f>
        <v>1</v>
      </c>
      <c r="F67" s="20" t="b">
        <f>IF(AND(F61&gt;=0,adProjIteration&lt;=adProjHorizon),ABS(F63-SUMIFS(#REF!,#REF!,adProjCdCanton,#REF!,"OBLIGATION"))&lt;0.0001,TRUE)</f>
        <v>1</v>
      </c>
      <c r="G67" s="20" t="b">
        <f>IF(AND(G61&gt;=0,adProjIteration&lt;=adProjHorizon),ABS(G63-SUMIFS(#REF!,#REF!,adProjCdCanton,#REF!,"OBLIGATION"))&lt;0.0001,TRUE)</f>
        <v>1</v>
      </c>
      <c r="H67" s="20" t="b">
        <f>IF(AND(H61&gt;=0,adProjIteration&lt;=adProjHorizon),ABS(H63-SUMIFS(#REF!,#REF!,adProjCdCanton,#REF!,"OBLIGATION"))&lt;0.0001,TRUE)</f>
        <v>1</v>
      </c>
      <c r="I67" s="20" t="b">
        <f>IF(AND(I61&gt;=0,adProjIteration&lt;=adProjHorizon),ABS(I63-SUMIFS(#REF!,#REF!,adProjCdCanton,#REF!,"OBLIGATION"))&lt;0.0001,TRUE)</f>
        <v>1</v>
      </c>
      <c r="J67" s="20" t="b">
        <f>IF(AND(J61&gt;=0,adProjIteration&lt;=adProjHorizon),ABS(J63-SUMIFS(#REF!,#REF!,adProjCdCanton,#REF!,"OBLIGATION"))&lt;0.0001,TRUE)</f>
        <v>1</v>
      </c>
      <c r="K67" s="20" t="b">
        <f>IF(AND(K61&gt;=0,adProjIteration&lt;=adProjHorizon),ABS(K63-SUMIFS(#REF!,#REF!,adProjCdCanton,#REF!,"OBLIGATION"))&lt;0.0001,TRUE)</f>
        <v>1</v>
      </c>
      <c r="L67" s="20" t="b">
        <f>IF(AND(L61&gt;=0,adProjIteration&lt;=adProjHorizon),ABS(L63-SUMIFS(#REF!,#REF!,adProjCdCanton,#REF!,"OBLIGATION"))&lt;0.0001,TRUE)</f>
        <v>1</v>
      </c>
      <c r="M67" s="20" t="b">
        <f>IF(AND(M61&gt;=0,adProjIteration&lt;=adProjHorizon),ABS(M63-SUMIFS(#REF!,#REF!,adProjCdCanton,#REF!,"OBLIGATION"))&lt;0.0001,TRUE)</f>
        <v>1</v>
      </c>
      <c r="N67" s="20" t="b">
        <f>IF(AND(N61&gt;=0,adProjIteration&lt;=adProjHorizon),ABS(N63-SUMIFS(#REF!,#REF!,adProjCdCanton,#REF!,"OBLIGATION"))&lt;0.0001,TRUE)</f>
        <v>1</v>
      </c>
      <c r="O67" s="20" t="b">
        <f>IF(AND(O61&gt;=0,adProjIteration&lt;=adProjHorizon),ABS(O63-SUMIFS(#REF!,#REF!,adProjCdCanton,#REF!,"OBLIGATION"))&lt;0.0001,TRUE)</f>
        <v>1</v>
      </c>
      <c r="P67" s="20" t="b">
        <f>IF(AND(P61&gt;=0,adProjIteration&lt;=adProjHorizon),ABS(P63-SUMIFS(#REF!,#REF!,adProjCdCanton,#REF!,"OBLIGATION"))&lt;0.0001,TRUE)</f>
        <v>1</v>
      </c>
      <c r="Q67" s="20" t="b">
        <f>IF(AND(Q61&gt;=0,adProjIteration&lt;=adProjHorizon),ABS(Q63-SUMIFS(#REF!,#REF!,adProjCdCanton,#REF!,"OBLIGATION"))&lt;0.0001,TRUE)</f>
        <v>1</v>
      </c>
      <c r="R67" s="20" t="b">
        <f>IF(AND(R61&gt;=0,adProjIteration&lt;=adProjHorizon),ABS(R63-SUMIFS(#REF!,#REF!,adProjCdCanton,#REF!,"OBLIGATION"))&lt;0.0001,TRUE)</f>
        <v>1</v>
      </c>
      <c r="S67" s="20" t="b">
        <f>IF(AND(S61&gt;=0,adProjIteration&lt;=adProjHorizon),ABS(S63-SUMIFS(#REF!,#REF!,adProjCdCanton,#REF!,"OBLIGATION"))&lt;0.0001,TRUE)</f>
        <v>1</v>
      </c>
      <c r="T67" s="20" t="b">
        <f>IF(AND(T61&gt;=0,adProjIteration&lt;=adProjHorizon),ABS(T63-SUMIFS(#REF!,#REF!,adProjCdCanton,#REF!,"OBLIGATION"))&lt;0.0001,TRUE)</f>
        <v>1</v>
      </c>
      <c r="U67" s="20" t="b">
        <f>IF(AND(U61&gt;=0,adProjIteration&lt;=adProjHorizon),ABS(U63-SUMIFS(#REF!,#REF!,adProjCdCanton,#REF!,"OBLIGATION"))&lt;0.0001,TRUE)</f>
        <v>1</v>
      </c>
      <c r="V67" s="20" t="b">
        <f>IF(AND(V61&gt;=0,adProjIteration&lt;=adProjHorizon),ABS(V63-SUMIFS(#REF!,#REF!,adProjCdCanton,#REF!,"OBLIGATION"))&lt;0.0001,TRUE)</f>
        <v>1</v>
      </c>
      <c r="W67" s="20" t="b">
        <f>IF(AND(W61&gt;=0,adProjIteration&lt;=adProjHorizon),ABS(W63-SUMIFS(#REF!,#REF!,adProjCdCanton,#REF!,"OBLIGATION"))&lt;0.0001,TRUE)</f>
        <v>1</v>
      </c>
      <c r="X67" s="20" t="b">
        <f>IF(AND(X61&gt;=0,adProjIteration&lt;=adProjHorizon),ABS(X63-SUMIFS(#REF!,#REF!,adProjCdCanton,#REF!,"OBLIGATION"))&lt;0.0001,TRUE)</f>
        <v>1</v>
      </c>
      <c r="Y67" s="20" t="b">
        <f>IF(AND(Y61&gt;=0,adProjIteration&lt;=adProjHorizon),ABS(Y63-SUMIFS(#REF!,#REF!,adProjCdCanton,#REF!,"OBLIGATION"))&lt;0.0001,TRUE)</f>
        <v>1</v>
      </c>
      <c r="Z67" s="20" t="b">
        <f>IF(AND(Z61&gt;=0,adProjIteration&lt;=adProjHorizon),ABS(Z63-SUMIFS(#REF!,#REF!,adProjCdCanton,#REF!,"OBLIGATION"))&lt;0.0001,TRUE)</f>
        <v>1</v>
      </c>
      <c r="AA67" s="20" t="b">
        <f>IF(AND(AA61&gt;=0,adProjIteration&lt;=adProjHorizon),ABS(AA63-SUMIFS(#REF!,#REF!,adProjCdCanton,#REF!,"OBLIGATION"))&lt;0.0001,TRUE)</f>
        <v>1</v>
      </c>
      <c r="AB67" s="20" t="b">
        <f>IF(AND(AB61&gt;=0,adProjIteration&lt;=adProjHorizon),ABS(AB63-SUMIFS(#REF!,#REF!,adProjCdCanton,#REF!,"OBLIGATION"))&lt;0.0001,TRUE)</f>
        <v>1</v>
      </c>
      <c r="AC67" s="20" t="b">
        <f>IF(AND(AC61&gt;=0,adProjIteration&lt;=adProjHorizon),ABS(AC63-SUMIFS(#REF!,#REF!,adProjCdCanton,#REF!,"OBLIGATION"))&lt;0.0001,TRUE)</f>
        <v>1</v>
      </c>
      <c r="AD67" s="20" t="b">
        <f>IF(AND(AD61&gt;=0,adProjIteration&lt;=adProjHorizon),ABS(AD63-SUMIFS(#REF!,#REF!,adProjCdCanton,#REF!,"OBLIGATION"))&lt;0.0001,TRUE)</f>
        <v>1</v>
      </c>
      <c r="AE67" s="20" t="b">
        <f>IF(AND(AE61&gt;=0,adProjIteration&lt;=adProjHorizon),ABS(AE63-SUMIFS(#REF!,#REF!,adProjCdCanton,#REF!,"OBLIGATION"))&lt;0.0001,TRUE)</f>
        <v>1</v>
      </c>
      <c r="AF67" s="20" t="b">
        <f>IF(AND(AF61&gt;=0,adProjIteration&lt;=adProjHorizon),ABS(AF63-SUMIFS(#REF!,#REF!,adProjCdCanton,#REF!,"OBLIGATION"))&lt;0.0001,TRUE)</f>
        <v>1</v>
      </c>
      <c r="AG67" s="20" t="b">
        <f>IF(AND(AG61&gt;=0,adProjIteration&lt;=adProjHorizon),ABS(AG63-SUMIFS(#REF!,#REF!,adProjCdCanton,#REF!,"OBLIGATION"))&lt;0.0001,TRUE)</f>
        <v>1</v>
      </c>
      <c r="AH67" s="20" t="b">
        <f>IF(AND(AH61&gt;=0,adProjIteration&lt;=adProjHorizon),ABS(AH63-SUMIFS(#REF!,#REF!,adProjCdCanton,#REF!,"OBLIGATION"))&lt;0.0001,TRUE)</f>
        <v>1</v>
      </c>
      <c r="AI67" s="20" t="b">
        <f>IF(AND(AI61&gt;=0,adProjIteration&lt;=adProjHorizon),ABS(AI63-SUMIFS(#REF!,#REF!,adProjCdCanton,#REF!,"OBLIGATION"))&lt;0.0001,TRUE)</f>
        <v>1</v>
      </c>
      <c r="AJ67" s="20" t="b">
        <f>IF(AND(AJ61&gt;=0,adProjIteration&lt;=adProjHorizon),ABS(AJ63-SUMIFS(#REF!,#REF!,adProjCdCanton,#REF!,"OBLIGATION"))&lt;0.0001,TRUE)</f>
        <v>1</v>
      </c>
      <c r="AK67" s="20" t="b">
        <f>IF(AND(AK61&gt;=0,adProjIteration&lt;=adProjHorizon),ABS(AK63-SUMIFS(#REF!,#REF!,adProjCdCanton,#REF!,"OBLIGATION"))&lt;0.0001,TRUE)</f>
        <v>1</v>
      </c>
      <c r="AL67" s="20" t="b">
        <f>IF(AND(AL61&gt;=0,adProjIteration&lt;=adProjHorizon),ABS(AL63-SUMIFS(#REF!,#REF!,adProjCdCanton,#REF!,"OBLIGATION"))&lt;0.0001,TRUE)</f>
        <v>1</v>
      </c>
      <c r="AM67" s="20" t="b">
        <f>IF(AND(AM61&gt;=0,adProjIteration&lt;=adProjHorizon),ABS(AM63-SUMIFS(#REF!,#REF!,adProjCdCanton,#REF!,"OBLIGATION"))&lt;0.0001,TRUE)</f>
        <v>1</v>
      </c>
      <c r="AN67" s="20" t="b">
        <f>IF(AND(AN61&gt;=0,adProjIteration&lt;=adProjHorizon),ABS(AN63-SUMIFS(#REF!,#REF!,adProjCdCanton,#REF!,"OBLIGATION"))&lt;0.0001,TRUE)</f>
        <v>1</v>
      </c>
      <c r="AO67" s="20" t="b">
        <f>IF(AND(AO61&gt;=0,adProjIteration&lt;=adProjHorizon),ABS(AO63-SUMIFS(#REF!,#REF!,adProjCdCanton,#REF!,"OBLIGATION"))&lt;0.0001,TRUE)</f>
        <v>1</v>
      </c>
      <c r="AP67" s="20" t="b">
        <f>IF(AND(AP61&gt;=0,adProjIteration&lt;=adProjHorizon),ABS(AP63-SUMIFS(#REF!,#REF!,adProjCdCanton,#REF!,"OBLIGATION"))&lt;0.0001,TRUE)</f>
        <v>1</v>
      </c>
      <c r="AQ67" s="20" t="b">
        <f>IF(AND(AQ61&gt;=0,adProjIteration&lt;=adProjHorizon),ABS(AQ63-SUMIFS(#REF!,#REF!,adProjCdCanton,#REF!,"OBLIGATION"))&lt;0.0001,TRUE)</f>
        <v>1</v>
      </c>
      <c r="AR67" s="20" t="b">
        <f>IF(AND(AR61&gt;=0,adProjIteration&lt;=adProjHorizon),ABS(AR63-SUMIFS(#REF!,#REF!,adProjCdCanton,#REF!,"OBLIGATION"))&lt;0.0001,TRUE)</f>
        <v>1</v>
      </c>
      <c r="AS67" s="20" t="b">
        <f>IF(AND(AS61&gt;=0,adProjIteration&lt;=adProjHorizon),ABS(AS63-SUMIFS(#REF!,#REF!,adProjCdCanton,#REF!,"OBLIGATION"))&lt;0.0001,TRUE)</f>
        <v>1</v>
      </c>
      <c r="AT67" s="20" t="b">
        <f>IF(AND(AT61&gt;=0,adProjIteration&lt;=adProjHorizon),ABS(AT63-SUMIFS(#REF!,#REF!,adProjCdCanton,#REF!,"OBLIGATION"))&lt;0.0001,TRUE)</f>
        <v>1</v>
      </c>
      <c r="AU67" s="20" t="b">
        <f>IF(AND(AU61&gt;=0,adProjIteration&lt;=adProjHorizon),ABS(AU63-SUMIFS(#REF!,#REF!,adProjCdCanton,#REF!,"OBLIGATION"))&lt;0.0001,TRUE)</f>
        <v>1</v>
      </c>
      <c r="AV67" s="20" t="b">
        <f>IF(AND(AV61&gt;=0,adProjIteration&lt;=adProjHorizon),ABS(AV63-SUMIFS(#REF!,#REF!,adProjCdCanton,#REF!,"OBLIGATION"))&lt;0.0001,TRUE)</f>
        <v>1</v>
      </c>
      <c r="AW67" s="20" t="b">
        <f>IF(AND(AW61&gt;=0,adProjIteration&lt;=adProjHorizon),ABS(AW63-SUMIFS(#REF!,#REF!,adProjCdCanton,#REF!,"OBLIGATION"))&lt;0.0001,TRUE)</f>
        <v>1</v>
      </c>
      <c r="AX67" s="20" t="b">
        <f>IF(AND(AX61&gt;=0,adProjIteration&lt;=adProjHorizon),ABS(AX63-SUMIFS(#REF!,#REF!,adProjCdCanton,#REF!,"OBLIGATION"))&lt;0.0001,TRUE)</f>
        <v>1</v>
      </c>
      <c r="AY67" s="20" t="b">
        <f>IF(AND(AY61&gt;=0,adProjIteration&lt;=adProjHorizon),ABS(AY63-SUMIFS(#REF!,#REF!,adProjCdCanton,#REF!,"OBLIGATION"))&lt;0.0001,TRUE)</f>
        <v>1</v>
      </c>
      <c r="AZ67" s="20" t="b">
        <f>IF(AND(AZ61&gt;=0,adProjIteration&lt;=adProjHorizon),ABS(AZ63-SUMIFS(#REF!,#REF!,adProjCdCanton,#REF!,"OBLIGATION"))&lt;0.0001,TRUE)</f>
        <v>1</v>
      </c>
      <c r="BA67" s="20" t="b">
        <f>IF(AND(BA61&gt;=0,adProjIteration&lt;=adProjHorizon),ABS(BA63-SUMIFS(#REF!,#REF!,adProjCdCanton,#REF!,"OBLIGATION"))&lt;0.0001,TRUE)</f>
        <v>1</v>
      </c>
      <c r="BB67" s="20" t="b">
        <f>IF(AND(BB61&gt;=0,adProjIteration&lt;=adProjHorizon),ABS(BB63-SUMIFS(#REF!,#REF!,adProjCdCanton,#REF!,"OBLIGATION"))&lt;0.0001,TRUE)</f>
        <v>1</v>
      </c>
    </row>
    <row r="68" spans="1:55" ht="16.5" x14ac:dyDescent="0.3">
      <c r="B68" s="17"/>
      <c r="C68" s="19" t="s">
        <v>57</v>
      </c>
      <c r="D68" s="20" t="b">
        <f>AND(E68:BB68)</f>
        <v>1</v>
      </c>
      <c r="E68" s="20" t="b">
        <f>IF(AND(E61&gt;=0,adProjIteration&lt;=adProjHorizon),ABS(E64-SUMIFS(#REF!,#REF!,adProjCdCanton,#REF!,"IMMOBILIER"))&lt;0.0001,TRUE)</f>
        <v>1</v>
      </c>
      <c r="F68" s="20" t="b">
        <f>IF(AND(F61&gt;=0,adProjIteration&lt;=adProjHorizon),ABS(F64-SUMIFS(#REF!,#REF!,adProjCdCanton,#REF!,"IMMOBILIER"))&lt;0.0001,TRUE)</f>
        <v>1</v>
      </c>
      <c r="G68" s="20" t="b">
        <f>IF(AND(G61&gt;=0,adProjIteration&lt;=adProjHorizon),ABS(G64-SUMIFS(#REF!,#REF!,adProjCdCanton,#REF!,"IMMOBILIER"))&lt;0.0001,TRUE)</f>
        <v>1</v>
      </c>
      <c r="H68" s="20" t="b">
        <f>IF(AND(H61&gt;=0,adProjIteration&lt;=adProjHorizon),ABS(H64-SUMIFS(#REF!,#REF!,adProjCdCanton,#REF!,"IMMOBILIER"))&lt;0.0001,TRUE)</f>
        <v>1</v>
      </c>
      <c r="I68" s="20" t="b">
        <f>IF(AND(I61&gt;=0,adProjIteration&lt;=adProjHorizon),ABS(I64-SUMIFS(#REF!,#REF!,adProjCdCanton,#REF!,"IMMOBILIER"))&lt;0.0001,TRUE)</f>
        <v>1</v>
      </c>
      <c r="J68" s="20" t="b">
        <f>IF(AND(J61&gt;=0,adProjIteration&lt;=adProjHorizon),ABS(J64-SUMIFS(#REF!,#REF!,adProjCdCanton,#REF!,"IMMOBILIER"))&lt;0.0001,TRUE)</f>
        <v>1</v>
      </c>
      <c r="K68" s="20" t="b">
        <f>IF(AND(K61&gt;=0,adProjIteration&lt;=adProjHorizon),ABS(K64-SUMIFS(#REF!,#REF!,adProjCdCanton,#REF!,"IMMOBILIER"))&lt;0.0001,TRUE)</f>
        <v>1</v>
      </c>
      <c r="L68" s="20" t="b">
        <f>IF(AND(L61&gt;=0,adProjIteration&lt;=adProjHorizon),ABS(L64-SUMIFS(#REF!,#REF!,adProjCdCanton,#REF!,"IMMOBILIER"))&lt;0.0001,TRUE)</f>
        <v>1</v>
      </c>
      <c r="M68" s="20" t="b">
        <f>IF(AND(M61&gt;=0,adProjIteration&lt;=adProjHorizon),ABS(M64-SUMIFS(#REF!,#REF!,adProjCdCanton,#REF!,"IMMOBILIER"))&lt;0.0001,TRUE)</f>
        <v>1</v>
      </c>
      <c r="N68" s="20" t="b">
        <f>IF(AND(N61&gt;=0,adProjIteration&lt;=adProjHorizon),ABS(N64-SUMIFS(#REF!,#REF!,adProjCdCanton,#REF!,"IMMOBILIER"))&lt;0.0001,TRUE)</f>
        <v>1</v>
      </c>
      <c r="O68" s="20" t="b">
        <f>IF(AND(O61&gt;=0,adProjIteration&lt;=adProjHorizon),ABS(O64-SUMIFS(#REF!,#REF!,adProjCdCanton,#REF!,"IMMOBILIER"))&lt;0.0001,TRUE)</f>
        <v>1</v>
      </c>
      <c r="P68" s="20" t="b">
        <f>IF(AND(P61&gt;=0,adProjIteration&lt;=adProjHorizon),ABS(P64-SUMIFS(#REF!,#REF!,adProjCdCanton,#REF!,"IMMOBILIER"))&lt;0.0001,TRUE)</f>
        <v>1</v>
      </c>
      <c r="Q68" s="20" t="b">
        <f>IF(AND(Q61&gt;=0,adProjIteration&lt;=adProjHorizon),ABS(Q64-SUMIFS(#REF!,#REF!,adProjCdCanton,#REF!,"IMMOBILIER"))&lt;0.0001,TRUE)</f>
        <v>1</v>
      </c>
      <c r="R68" s="20" t="b">
        <f>IF(AND(R61&gt;=0,adProjIteration&lt;=adProjHorizon),ABS(R64-SUMIFS(#REF!,#REF!,adProjCdCanton,#REF!,"IMMOBILIER"))&lt;0.0001,TRUE)</f>
        <v>1</v>
      </c>
      <c r="S68" s="20" t="b">
        <f>IF(AND(S61&gt;=0,adProjIteration&lt;=adProjHorizon),ABS(S64-SUMIFS(#REF!,#REF!,adProjCdCanton,#REF!,"IMMOBILIER"))&lt;0.0001,TRUE)</f>
        <v>1</v>
      </c>
      <c r="T68" s="20" t="b">
        <f>IF(AND(T61&gt;=0,adProjIteration&lt;=adProjHorizon),ABS(T64-SUMIFS(#REF!,#REF!,adProjCdCanton,#REF!,"IMMOBILIER"))&lt;0.0001,TRUE)</f>
        <v>1</v>
      </c>
      <c r="U68" s="20" t="b">
        <f>IF(AND(U61&gt;=0,adProjIteration&lt;=adProjHorizon),ABS(U64-SUMIFS(#REF!,#REF!,adProjCdCanton,#REF!,"IMMOBILIER"))&lt;0.0001,TRUE)</f>
        <v>1</v>
      </c>
      <c r="V68" s="20" t="b">
        <f>IF(AND(V61&gt;=0,adProjIteration&lt;=adProjHorizon),ABS(V64-SUMIFS(#REF!,#REF!,adProjCdCanton,#REF!,"IMMOBILIER"))&lt;0.0001,TRUE)</f>
        <v>1</v>
      </c>
      <c r="W68" s="20" t="b">
        <f>IF(AND(W61&gt;=0,adProjIteration&lt;=adProjHorizon),ABS(W64-SUMIFS(#REF!,#REF!,adProjCdCanton,#REF!,"IMMOBILIER"))&lt;0.0001,TRUE)</f>
        <v>1</v>
      </c>
      <c r="X68" s="20" t="b">
        <f>IF(AND(X61&gt;=0,adProjIteration&lt;=adProjHorizon),ABS(X64-SUMIFS(#REF!,#REF!,adProjCdCanton,#REF!,"IMMOBILIER"))&lt;0.0001,TRUE)</f>
        <v>1</v>
      </c>
      <c r="Y68" s="20" t="b">
        <f>IF(AND(Y61&gt;=0,adProjIteration&lt;=adProjHorizon),ABS(Y64-SUMIFS(#REF!,#REF!,adProjCdCanton,#REF!,"IMMOBILIER"))&lt;0.0001,TRUE)</f>
        <v>1</v>
      </c>
      <c r="Z68" s="20" t="b">
        <f>IF(AND(Z61&gt;=0,adProjIteration&lt;=adProjHorizon),ABS(Z64-SUMIFS(#REF!,#REF!,adProjCdCanton,#REF!,"IMMOBILIER"))&lt;0.0001,TRUE)</f>
        <v>1</v>
      </c>
      <c r="AA68" s="20" t="b">
        <f>IF(AND(AA61&gt;=0,adProjIteration&lt;=adProjHorizon),ABS(AA64-SUMIFS(#REF!,#REF!,adProjCdCanton,#REF!,"IMMOBILIER"))&lt;0.0001,TRUE)</f>
        <v>1</v>
      </c>
      <c r="AB68" s="20" t="b">
        <f>IF(AND(AB61&gt;=0,adProjIteration&lt;=adProjHorizon),ABS(AB64-SUMIFS(#REF!,#REF!,adProjCdCanton,#REF!,"IMMOBILIER"))&lt;0.0001,TRUE)</f>
        <v>1</v>
      </c>
      <c r="AC68" s="20" t="b">
        <f>IF(AND(AC61&gt;=0,adProjIteration&lt;=adProjHorizon),ABS(AC64-SUMIFS(#REF!,#REF!,adProjCdCanton,#REF!,"IMMOBILIER"))&lt;0.0001,TRUE)</f>
        <v>1</v>
      </c>
      <c r="AD68" s="20" t="b">
        <f>IF(AND(AD61&gt;=0,adProjIteration&lt;=adProjHorizon),ABS(AD64-SUMIFS(#REF!,#REF!,adProjCdCanton,#REF!,"IMMOBILIER"))&lt;0.0001,TRUE)</f>
        <v>1</v>
      </c>
      <c r="AE68" s="20" t="b">
        <f>IF(AND(AE61&gt;=0,adProjIteration&lt;=adProjHorizon),ABS(AE64-SUMIFS(#REF!,#REF!,adProjCdCanton,#REF!,"IMMOBILIER"))&lt;0.0001,TRUE)</f>
        <v>1</v>
      </c>
      <c r="AF68" s="20" t="b">
        <f>IF(AND(AF61&gt;=0,adProjIteration&lt;=adProjHorizon),ABS(AF64-SUMIFS(#REF!,#REF!,adProjCdCanton,#REF!,"IMMOBILIER"))&lt;0.0001,TRUE)</f>
        <v>1</v>
      </c>
      <c r="AG68" s="20" t="b">
        <f>IF(AND(AG61&gt;=0,adProjIteration&lt;=adProjHorizon),ABS(AG64-SUMIFS(#REF!,#REF!,adProjCdCanton,#REF!,"IMMOBILIER"))&lt;0.0001,TRUE)</f>
        <v>1</v>
      </c>
      <c r="AH68" s="20" t="b">
        <f>IF(AND(AH61&gt;=0,adProjIteration&lt;=adProjHorizon),ABS(AH64-SUMIFS(#REF!,#REF!,adProjCdCanton,#REF!,"IMMOBILIER"))&lt;0.0001,TRUE)</f>
        <v>1</v>
      </c>
      <c r="AI68" s="20" t="b">
        <f>IF(AND(AI61&gt;=0,adProjIteration&lt;=adProjHorizon),ABS(AI64-SUMIFS(#REF!,#REF!,adProjCdCanton,#REF!,"IMMOBILIER"))&lt;0.0001,TRUE)</f>
        <v>1</v>
      </c>
      <c r="AJ68" s="20" t="b">
        <f>IF(AND(AJ61&gt;=0,adProjIteration&lt;=adProjHorizon),ABS(AJ64-SUMIFS(#REF!,#REF!,adProjCdCanton,#REF!,"IMMOBILIER"))&lt;0.0001,TRUE)</f>
        <v>1</v>
      </c>
      <c r="AK68" s="20" t="b">
        <f>IF(AND(AK61&gt;=0,adProjIteration&lt;=adProjHorizon),ABS(AK64-SUMIFS(#REF!,#REF!,adProjCdCanton,#REF!,"IMMOBILIER"))&lt;0.0001,TRUE)</f>
        <v>1</v>
      </c>
      <c r="AL68" s="20" t="b">
        <f>IF(AND(AL61&gt;=0,adProjIteration&lt;=adProjHorizon),ABS(AL64-SUMIFS(#REF!,#REF!,adProjCdCanton,#REF!,"IMMOBILIER"))&lt;0.0001,TRUE)</f>
        <v>1</v>
      </c>
      <c r="AM68" s="20" t="b">
        <f>IF(AND(AM61&gt;=0,adProjIteration&lt;=adProjHorizon),ABS(AM64-SUMIFS(#REF!,#REF!,adProjCdCanton,#REF!,"IMMOBILIER"))&lt;0.0001,TRUE)</f>
        <v>1</v>
      </c>
      <c r="AN68" s="20" t="b">
        <f>IF(AND(AN61&gt;=0,adProjIteration&lt;=adProjHorizon),ABS(AN64-SUMIFS(#REF!,#REF!,adProjCdCanton,#REF!,"IMMOBILIER"))&lt;0.0001,TRUE)</f>
        <v>1</v>
      </c>
      <c r="AO68" s="20" t="b">
        <f>IF(AND(AO61&gt;=0,adProjIteration&lt;=adProjHorizon),ABS(AO64-SUMIFS(#REF!,#REF!,adProjCdCanton,#REF!,"IMMOBILIER"))&lt;0.0001,TRUE)</f>
        <v>1</v>
      </c>
      <c r="AP68" s="20" t="b">
        <f>IF(AND(AP61&gt;=0,adProjIteration&lt;=adProjHorizon),ABS(AP64-SUMIFS(#REF!,#REF!,adProjCdCanton,#REF!,"IMMOBILIER"))&lt;0.0001,TRUE)</f>
        <v>1</v>
      </c>
      <c r="AQ68" s="20" t="b">
        <f>IF(AND(AQ61&gt;=0,adProjIteration&lt;=adProjHorizon),ABS(AQ64-SUMIFS(#REF!,#REF!,adProjCdCanton,#REF!,"IMMOBILIER"))&lt;0.0001,TRUE)</f>
        <v>1</v>
      </c>
      <c r="AR68" s="20" t="b">
        <f>IF(AND(AR61&gt;=0,adProjIteration&lt;=adProjHorizon),ABS(AR64-SUMIFS(#REF!,#REF!,adProjCdCanton,#REF!,"IMMOBILIER"))&lt;0.0001,TRUE)</f>
        <v>1</v>
      </c>
      <c r="AS68" s="20" t="b">
        <f>IF(AND(AS61&gt;=0,adProjIteration&lt;=adProjHorizon),ABS(AS64-SUMIFS(#REF!,#REF!,adProjCdCanton,#REF!,"IMMOBILIER"))&lt;0.0001,TRUE)</f>
        <v>1</v>
      </c>
      <c r="AT68" s="20" t="b">
        <f>IF(AND(AT61&gt;=0,adProjIteration&lt;=adProjHorizon),ABS(AT64-SUMIFS(#REF!,#REF!,adProjCdCanton,#REF!,"IMMOBILIER"))&lt;0.0001,TRUE)</f>
        <v>1</v>
      </c>
      <c r="AU68" s="20" t="b">
        <f>IF(AND(AU61&gt;=0,adProjIteration&lt;=adProjHorizon),ABS(AU64-SUMIFS(#REF!,#REF!,adProjCdCanton,#REF!,"IMMOBILIER"))&lt;0.0001,TRUE)</f>
        <v>1</v>
      </c>
      <c r="AV68" s="20" t="b">
        <f>IF(AND(AV61&gt;=0,adProjIteration&lt;=adProjHorizon),ABS(AV64-SUMIFS(#REF!,#REF!,adProjCdCanton,#REF!,"IMMOBILIER"))&lt;0.0001,TRUE)</f>
        <v>1</v>
      </c>
      <c r="AW68" s="20" t="b">
        <f>IF(AND(AW61&gt;=0,adProjIteration&lt;=adProjHorizon),ABS(AW64-SUMIFS(#REF!,#REF!,adProjCdCanton,#REF!,"IMMOBILIER"))&lt;0.0001,TRUE)</f>
        <v>1</v>
      </c>
      <c r="AX68" s="20" t="b">
        <f>IF(AND(AX61&gt;=0,adProjIteration&lt;=adProjHorizon),ABS(AX64-SUMIFS(#REF!,#REF!,adProjCdCanton,#REF!,"IMMOBILIER"))&lt;0.0001,TRUE)</f>
        <v>1</v>
      </c>
      <c r="AY68" s="20" t="b">
        <f>IF(AND(AY61&gt;=0,adProjIteration&lt;=adProjHorizon),ABS(AY64-SUMIFS(#REF!,#REF!,adProjCdCanton,#REF!,"IMMOBILIER"))&lt;0.0001,TRUE)</f>
        <v>1</v>
      </c>
      <c r="AZ68" s="20" t="b">
        <f>IF(AND(AZ61&gt;=0,adProjIteration&lt;=adProjHorizon),ABS(AZ64-SUMIFS(#REF!,#REF!,adProjCdCanton,#REF!,"IMMOBILIER"))&lt;0.0001,TRUE)</f>
        <v>1</v>
      </c>
      <c r="BA68" s="20" t="b">
        <f>IF(AND(BA61&gt;=0,adProjIteration&lt;=adProjHorizon),ABS(BA64-SUMIFS(#REF!,#REF!,adProjCdCanton,#REF!,"IMMOBILIER"))&lt;0.0001,TRUE)</f>
        <v>1</v>
      </c>
      <c r="BB68" s="20" t="b">
        <f>IF(AND(BB61&gt;=0,adProjIteration&lt;=adProjHorizon),ABS(BB64-SUMIFS(#REF!,#REF!,adProjCdCanton,#REF!,"IMMOBILIER"))&lt;0.0001,TRUE)</f>
        <v>1</v>
      </c>
    </row>
    <row r="69" spans="1:55" ht="16.5" x14ac:dyDescent="0.3">
      <c r="B69" s="17"/>
      <c r="C69" s="19" t="s">
        <v>58</v>
      </c>
      <c r="D69" s="20" t="b">
        <f>AND(E69:BB69)</f>
        <v>1</v>
      </c>
      <c r="E69" s="20" t="b">
        <f>IF(AND(E61&gt;=0,adProjIteration&lt;=adProjHorizon),ABS(E65-SUMIFS(#REF!,#REF!,adProjCdCanton,#REF!,"ACTION"))&lt;0.0001,TRUE)</f>
        <v>1</v>
      </c>
      <c r="F69" s="20" t="b">
        <f>IF(AND(F61&gt;=0,adProjIteration&lt;=adProjHorizon),ABS(F65-SUMIFS(#REF!,#REF!,adProjCdCanton,#REF!,"ACTION"))&lt;0.0001,TRUE)</f>
        <v>1</v>
      </c>
      <c r="G69" s="20" t="b">
        <f>IF(AND(G61&gt;=0,adProjIteration&lt;=adProjHorizon),ABS(G65-SUMIFS(#REF!,#REF!,adProjCdCanton,#REF!,"ACTION"))&lt;0.0001,TRUE)</f>
        <v>1</v>
      </c>
      <c r="H69" s="20" t="b">
        <f>IF(AND(H61&gt;=0,adProjIteration&lt;=adProjHorizon),ABS(H65-SUMIFS(#REF!,#REF!,adProjCdCanton,#REF!,"ACTION"))&lt;0.0001,TRUE)</f>
        <v>1</v>
      </c>
      <c r="I69" s="20" t="b">
        <f>IF(AND(I61&gt;=0,adProjIteration&lt;=adProjHorizon),ABS(I65-SUMIFS(#REF!,#REF!,adProjCdCanton,#REF!,"ACTION"))&lt;0.0001,TRUE)</f>
        <v>1</v>
      </c>
      <c r="J69" s="20" t="b">
        <f>IF(AND(J61&gt;=0,adProjIteration&lt;=adProjHorizon),ABS(J65-SUMIFS(#REF!,#REF!,adProjCdCanton,#REF!,"ACTION"))&lt;0.0001,TRUE)</f>
        <v>1</v>
      </c>
      <c r="K69" s="20" t="b">
        <f>IF(AND(K61&gt;=0,adProjIteration&lt;=adProjHorizon),ABS(K65-SUMIFS(#REF!,#REF!,adProjCdCanton,#REF!,"ACTION"))&lt;0.0001,TRUE)</f>
        <v>1</v>
      </c>
      <c r="L69" s="20" t="b">
        <f>IF(AND(L61&gt;=0,adProjIteration&lt;=adProjHorizon),ABS(L65-SUMIFS(#REF!,#REF!,adProjCdCanton,#REF!,"ACTION"))&lt;0.0001,TRUE)</f>
        <v>1</v>
      </c>
      <c r="M69" s="20" t="b">
        <f>IF(AND(M61&gt;=0,adProjIteration&lt;=adProjHorizon),ABS(M65-SUMIFS(#REF!,#REF!,adProjCdCanton,#REF!,"ACTION"))&lt;0.0001,TRUE)</f>
        <v>1</v>
      </c>
      <c r="N69" s="20" t="b">
        <f>IF(AND(N61&gt;=0,adProjIteration&lt;=adProjHorizon),ABS(N65-SUMIFS(#REF!,#REF!,adProjCdCanton,#REF!,"ACTION"))&lt;0.0001,TRUE)</f>
        <v>1</v>
      </c>
      <c r="O69" s="20" t="b">
        <f>IF(AND(O61&gt;=0,adProjIteration&lt;=adProjHorizon),ABS(O65-SUMIFS(#REF!,#REF!,adProjCdCanton,#REF!,"ACTION"))&lt;0.0001,TRUE)</f>
        <v>1</v>
      </c>
      <c r="P69" s="20" t="b">
        <f>IF(AND(P61&gt;=0,adProjIteration&lt;=adProjHorizon),ABS(P65-SUMIFS(#REF!,#REF!,adProjCdCanton,#REF!,"ACTION"))&lt;0.0001,TRUE)</f>
        <v>1</v>
      </c>
      <c r="Q69" s="20" t="b">
        <f>IF(AND(Q61&gt;=0,adProjIteration&lt;=adProjHorizon),ABS(Q65-SUMIFS(#REF!,#REF!,adProjCdCanton,#REF!,"ACTION"))&lt;0.0001,TRUE)</f>
        <v>1</v>
      </c>
      <c r="R69" s="20" t="b">
        <f>IF(AND(R61&gt;=0,adProjIteration&lt;=adProjHorizon),ABS(R65-SUMIFS(#REF!,#REF!,adProjCdCanton,#REF!,"ACTION"))&lt;0.0001,TRUE)</f>
        <v>1</v>
      </c>
      <c r="S69" s="20" t="b">
        <f>IF(AND(S61&gt;=0,adProjIteration&lt;=adProjHorizon),ABS(S65-SUMIFS(#REF!,#REF!,adProjCdCanton,#REF!,"ACTION"))&lt;0.0001,TRUE)</f>
        <v>1</v>
      </c>
      <c r="T69" s="20" t="b">
        <f>IF(AND(T61&gt;=0,adProjIteration&lt;=adProjHorizon),ABS(T65-SUMIFS(#REF!,#REF!,adProjCdCanton,#REF!,"ACTION"))&lt;0.0001,TRUE)</f>
        <v>1</v>
      </c>
      <c r="U69" s="20" t="b">
        <f>IF(AND(U61&gt;=0,adProjIteration&lt;=adProjHorizon),ABS(U65-SUMIFS(#REF!,#REF!,adProjCdCanton,#REF!,"ACTION"))&lt;0.0001,TRUE)</f>
        <v>1</v>
      </c>
      <c r="V69" s="20" t="b">
        <f>IF(AND(V61&gt;=0,adProjIteration&lt;=adProjHorizon),ABS(V65-SUMIFS(#REF!,#REF!,adProjCdCanton,#REF!,"ACTION"))&lt;0.0001,TRUE)</f>
        <v>1</v>
      </c>
      <c r="W69" s="20" t="b">
        <f>IF(AND(W61&gt;=0,adProjIteration&lt;=adProjHorizon),ABS(W65-SUMIFS(#REF!,#REF!,adProjCdCanton,#REF!,"ACTION"))&lt;0.0001,TRUE)</f>
        <v>1</v>
      </c>
      <c r="X69" s="20" t="b">
        <f>IF(AND(X61&gt;=0,adProjIteration&lt;=adProjHorizon),ABS(X65-SUMIFS(#REF!,#REF!,adProjCdCanton,#REF!,"ACTION"))&lt;0.0001,TRUE)</f>
        <v>1</v>
      </c>
      <c r="Y69" s="20" t="b">
        <f>IF(AND(Y61&gt;=0,adProjIteration&lt;=adProjHorizon),ABS(Y65-SUMIFS(#REF!,#REF!,adProjCdCanton,#REF!,"ACTION"))&lt;0.0001,TRUE)</f>
        <v>1</v>
      </c>
      <c r="Z69" s="20" t="b">
        <f>IF(AND(Z61&gt;=0,adProjIteration&lt;=adProjHorizon),ABS(Z65-SUMIFS(#REF!,#REF!,adProjCdCanton,#REF!,"ACTION"))&lt;0.0001,TRUE)</f>
        <v>1</v>
      </c>
      <c r="AA69" s="20" t="b">
        <f>IF(AND(AA61&gt;=0,adProjIteration&lt;=adProjHorizon),ABS(AA65-SUMIFS(#REF!,#REF!,adProjCdCanton,#REF!,"ACTION"))&lt;0.0001,TRUE)</f>
        <v>1</v>
      </c>
      <c r="AB69" s="20" t="b">
        <f>IF(AND(AB61&gt;=0,adProjIteration&lt;=adProjHorizon),ABS(AB65-SUMIFS(#REF!,#REF!,adProjCdCanton,#REF!,"ACTION"))&lt;0.0001,TRUE)</f>
        <v>1</v>
      </c>
      <c r="AC69" s="20" t="b">
        <f>IF(AND(AC61&gt;=0,adProjIteration&lt;=adProjHorizon),ABS(AC65-SUMIFS(#REF!,#REF!,adProjCdCanton,#REF!,"ACTION"))&lt;0.0001,TRUE)</f>
        <v>1</v>
      </c>
      <c r="AD69" s="20" t="b">
        <f>IF(AND(AD61&gt;=0,adProjIteration&lt;=adProjHorizon),ABS(AD65-SUMIFS(#REF!,#REF!,adProjCdCanton,#REF!,"ACTION"))&lt;0.0001,TRUE)</f>
        <v>1</v>
      </c>
      <c r="AE69" s="20" t="b">
        <f>IF(AND(AE61&gt;=0,adProjIteration&lt;=adProjHorizon),ABS(AE65-SUMIFS(#REF!,#REF!,adProjCdCanton,#REF!,"ACTION"))&lt;0.0001,TRUE)</f>
        <v>1</v>
      </c>
      <c r="AF69" s="20" t="b">
        <f>IF(AND(AF61&gt;=0,adProjIteration&lt;=adProjHorizon),ABS(AF65-SUMIFS(#REF!,#REF!,adProjCdCanton,#REF!,"ACTION"))&lt;0.0001,TRUE)</f>
        <v>1</v>
      </c>
      <c r="AG69" s="20" t="b">
        <f>IF(AND(AG61&gt;=0,adProjIteration&lt;=adProjHorizon),ABS(AG65-SUMIFS(#REF!,#REF!,adProjCdCanton,#REF!,"ACTION"))&lt;0.0001,TRUE)</f>
        <v>1</v>
      </c>
      <c r="AH69" s="20" t="b">
        <f>IF(AND(AH61&gt;=0,adProjIteration&lt;=adProjHorizon),ABS(AH65-SUMIFS(#REF!,#REF!,adProjCdCanton,#REF!,"ACTION"))&lt;0.0001,TRUE)</f>
        <v>1</v>
      </c>
      <c r="AI69" s="20" t="b">
        <f>IF(AND(AI61&gt;=0,adProjIteration&lt;=adProjHorizon),ABS(AI65-SUMIFS(#REF!,#REF!,adProjCdCanton,#REF!,"ACTION"))&lt;0.0001,TRUE)</f>
        <v>1</v>
      </c>
      <c r="AJ69" s="20" t="b">
        <f>IF(AND(AJ61&gt;=0,adProjIteration&lt;=adProjHorizon),ABS(AJ65-SUMIFS(#REF!,#REF!,adProjCdCanton,#REF!,"ACTION"))&lt;0.0001,TRUE)</f>
        <v>1</v>
      </c>
      <c r="AK69" s="20" t="b">
        <f>IF(AND(AK61&gt;=0,adProjIteration&lt;=adProjHorizon),ABS(AK65-SUMIFS(#REF!,#REF!,adProjCdCanton,#REF!,"ACTION"))&lt;0.0001,TRUE)</f>
        <v>1</v>
      </c>
      <c r="AL69" s="20" t="b">
        <f>IF(AND(AL61&gt;=0,adProjIteration&lt;=adProjHorizon),ABS(AL65-SUMIFS(#REF!,#REF!,adProjCdCanton,#REF!,"ACTION"))&lt;0.0001,TRUE)</f>
        <v>1</v>
      </c>
      <c r="AM69" s="20" t="b">
        <f>IF(AND(AM61&gt;=0,adProjIteration&lt;=adProjHorizon),ABS(AM65-SUMIFS(#REF!,#REF!,adProjCdCanton,#REF!,"ACTION"))&lt;0.0001,TRUE)</f>
        <v>1</v>
      </c>
      <c r="AN69" s="20" t="b">
        <f>IF(AND(AN61&gt;=0,adProjIteration&lt;=adProjHorizon),ABS(AN65-SUMIFS(#REF!,#REF!,adProjCdCanton,#REF!,"ACTION"))&lt;0.0001,TRUE)</f>
        <v>1</v>
      </c>
      <c r="AO69" s="20" t="b">
        <f>IF(AND(AO61&gt;=0,adProjIteration&lt;=adProjHorizon),ABS(AO65-SUMIFS(#REF!,#REF!,adProjCdCanton,#REF!,"ACTION"))&lt;0.0001,TRUE)</f>
        <v>1</v>
      </c>
      <c r="AP69" s="20" t="b">
        <f>IF(AND(AP61&gt;=0,adProjIteration&lt;=adProjHorizon),ABS(AP65-SUMIFS(#REF!,#REF!,adProjCdCanton,#REF!,"ACTION"))&lt;0.0001,TRUE)</f>
        <v>1</v>
      </c>
      <c r="AQ69" s="20" t="b">
        <f>IF(AND(AQ61&gt;=0,adProjIteration&lt;=adProjHorizon),ABS(AQ65-SUMIFS(#REF!,#REF!,adProjCdCanton,#REF!,"ACTION"))&lt;0.0001,TRUE)</f>
        <v>1</v>
      </c>
      <c r="AR69" s="20" t="b">
        <f>IF(AND(AR61&gt;=0,adProjIteration&lt;=adProjHorizon),ABS(AR65-SUMIFS(#REF!,#REF!,adProjCdCanton,#REF!,"ACTION"))&lt;0.0001,TRUE)</f>
        <v>1</v>
      </c>
      <c r="AS69" s="20" t="b">
        <f>IF(AND(AS61&gt;=0,adProjIteration&lt;=adProjHorizon),ABS(AS65-SUMIFS(#REF!,#REF!,adProjCdCanton,#REF!,"ACTION"))&lt;0.0001,TRUE)</f>
        <v>1</v>
      </c>
      <c r="AT69" s="20" t="b">
        <f>IF(AND(AT61&gt;=0,adProjIteration&lt;=adProjHorizon),ABS(AT65-SUMIFS(#REF!,#REF!,adProjCdCanton,#REF!,"ACTION"))&lt;0.0001,TRUE)</f>
        <v>1</v>
      </c>
      <c r="AU69" s="20" t="b">
        <f>IF(AND(AU61&gt;=0,adProjIteration&lt;=adProjHorizon),ABS(AU65-SUMIFS(#REF!,#REF!,adProjCdCanton,#REF!,"ACTION"))&lt;0.0001,TRUE)</f>
        <v>1</v>
      </c>
      <c r="AV69" s="20" t="b">
        <f>IF(AND(AV61&gt;=0,adProjIteration&lt;=adProjHorizon),ABS(AV65-SUMIFS(#REF!,#REF!,adProjCdCanton,#REF!,"ACTION"))&lt;0.0001,TRUE)</f>
        <v>1</v>
      </c>
      <c r="AW69" s="20" t="b">
        <f>IF(AND(AW61&gt;=0,adProjIteration&lt;=adProjHorizon),ABS(AW65-SUMIFS(#REF!,#REF!,adProjCdCanton,#REF!,"ACTION"))&lt;0.0001,TRUE)</f>
        <v>1</v>
      </c>
      <c r="AX69" s="20" t="b">
        <f>IF(AND(AX61&gt;=0,adProjIteration&lt;=adProjHorizon),ABS(AX65-SUMIFS(#REF!,#REF!,adProjCdCanton,#REF!,"ACTION"))&lt;0.0001,TRUE)</f>
        <v>1</v>
      </c>
      <c r="AY69" s="20" t="b">
        <f>IF(AND(AY61&gt;=0,adProjIteration&lt;=adProjHorizon),ABS(AY65-SUMIFS(#REF!,#REF!,adProjCdCanton,#REF!,"ACTION"))&lt;0.0001,TRUE)</f>
        <v>1</v>
      </c>
      <c r="AZ69" s="20" t="b">
        <f>IF(AND(AZ61&gt;=0,adProjIteration&lt;=adProjHorizon),ABS(AZ65-SUMIFS(#REF!,#REF!,adProjCdCanton,#REF!,"ACTION"))&lt;0.0001,TRUE)</f>
        <v>1</v>
      </c>
      <c r="BA69" s="20" t="b">
        <f>IF(AND(BA61&gt;=0,adProjIteration&lt;=adProjHorizon),ABS(BA65-SUMIFS(#REF!,#REF!,adProjCdCanton,#REF!,"ACTION"))&lt;0.0001,TRUE)</f>
        <v>1</v>
      </c>
      <c r="BB69" s="20" t="b">
        <f>IF(AND(BB61&gt;=0,adProjIteration&lt;=adProjHorizon),ABS(BB65-SUMIFS(#REF!,#REF!,adProjCdCanton,#REF!,"ACTION"))&lt;0.0001,TRUE)</f>
        <v>1</v>
      </c>
    </row>
    <row r="70" spans="1:55" ht="16.5" x14ac:dyDescent="0.3">
      <c r="B70" s="17"/>
      <c r="C70" s="19" t="s">
        <v>59</v>
      </c>
      <c r="D70" s="20" t="b">
        <f>AND(E70:BB70)</f>
        <v>1</v>
      </c>
      <c r="E70" s="20" t="b">
        <f>IF(AND(E61&gt;=0,adProjIteration&lt;=adProjHorizon),ABS(E66-SUMIFS(#REF!,#REF!,adProjCdCanton,#REF!,"MONETAIRE"))&lt;0.0001,TRUE)</f>
        <v>1</v>
      </c>
      <c r="F70" s="20" t="b">
        <f>IF(AND(F61&gt;=0,adProjIteration&lt;=adProjHorizon),ABS(F66-SUMIFS(#REF!,#REF!,adProjCdCanton,#REF!,"MONETAIRE"))&lt;0.0001,TRUE)</f>
        <v>1</v>
      </c>
      <c r="G70" s="20" t="b">
        <f>IF(AND(G61&gt;=0,adProjIteration&lt;=adProjHorizon),ABS(G66-SUMIFS(#REF!,#REF!,adProjCdCanton,#REF!,"MONETAIRE"))&lt;0.0001,TRUE)</f>
        <v>1</v>
      </c>
      <c r="H70" s="20" t="b">
        <f>IF(AND(H61&gt;=0,adProjIteration&lt;=adProjHorizon),ABS(H66-SUMIFS(#REF!,#REF!,adProjCdCanton,#REF!,"MONETAIRE"))&lt;0.0001,TRUE)</f>
        <v>1</v>
      </c>
      <c r="I70" s="20" t="b">
        <f>IF(AND(I61&gt;=0,adProjIteration&lt;=adProjHorizon),ABS(I66-SUMIFS(#REF!,#REF!,adProjCdCanton,#REF!,"MONETAIRE"))&lt;0.0001,TRUE)</f>
        <v>1</v>
      </c>
      <c r="J70" s="20" t="b">
        <f>IF(AND(J61&gt;=0,adProjIteration&lt;=adProjHorizon),ABS(J66-SUMIFS(#REF!,#REF!,adProjCdCanton,#REF!,"MONETAIRE"))&lt;0.0001,TRUE)</f>
        <v>1</v>
      </c>
      <c r="K70" s="20" t="b">
        <f>IF(AND(K61&gt;=0,adProjIteration&lt;=adProjHorizon),ABS(K66-SUMIFS(#REF!,#REF!,adProjCdCanton,#REF!,"MONETAIRE"))&lt;0.0001,TRUE)</f>
        <v>1</v>
      </c>
      <c r="L70" s="20" t="b">
        <f>IF(AND(L61&gt;=0,adProjIteration&lt;=adProjHorizon),ABS(L66-SUMIFS(#REF!,#REF!,adProjCdCanton,#REF!,"MONETAIRE"))&lt;0.0001,TRUE)</f>
        <v>1</v>
      </c>
      <c r="M70" s="20" t="b">
        <f>IF(AND(M61&gt;=0,adProjIteration&lt;=adProjHorizon),ABS(M66-SUMIFS(#REF!,#REF!,adProjCdCanton,#REF!,"MONETAIRE"))&lt;0.0001,TRUE)</f>
        <v>1</v>
      </c>
      <c r="N70" s="20" t="b">
        <f>IF(AND(N61&gt;=0,adProjIteration&lt;=adProjHorizon),ABS(N66-SUMIFS(#REF!,#REF!,adProjCdCanton,#REF!,"MONETAIRE"))&lt;0.0001,TRUE)</f>
        <v>1</v>
      </c>
      <c r="O70" s="20" t="b">
        <f>IF(AND(O61&gt;=0,adProjIteration&lt;=adProjHorizon),ABS(O66-SUMIFS(#REF!,#REF!,adProjCdCanton,#REF!,"MONETAIRE"))&lt;0.0001,TRUE)</f>
        <v>1</v>
      </c>
      <c r="P70" s="20" t="b">
        <f>IF(AND(P61&gt;=0,adProjIteration&lt;=adProjHorizon),ABS(P66-SUMIFS(#REF!,#REF!,adProjCdCanton,#REF!,"MONETAIRE"))&lt;0.0001,TRUE)</f>
        <v>1</v>
      </c>
      <c r="Q70" s="20" t="b">
        <f>IF(AND(Q61&gt;=0,adProjIteration&lt;=adProjHorizon),ABS(Q66-SUMIFS(#REF!,#REF!,adProjCdCanton,#REF!,"MONETAIRE"))&lt;0.0001,TRUE)</f>
        <v>1</v>
      </c>
      <c r="R70" s="20" t="b">
        <f>IF(AND(R61&gt;=0,adProjIteration&lt;=adProjHorizon),ABS(R66-SUMIFS(#REF!,#REF!,adProjCdCanton,#REF!,"MONETAIRE"))&lt;0.0001,TRUE)</f>
        <v>1</v>
      </c>
      <c r="S70" s="20" t="b">
        <f>IF(AND(S61&gt;=0,adProjIteration&lt;=adProjHorizon),ABS(S66-SUMIFS(#REF!,#REF!,adProjCdCanton,#REF!,"MONETAIRE"))&lt;0.0001,TRUE)</f>
        <v>1</v>
      </c>
      <c r="T70" s="20" t="b">
        <f>IF(AND(T61&gt;=0,adProjIteration&lt;=adProjHorizon),ABS(T66-SUMIFS(#REF!,#REF!,adProjCdCanton,#REF!,"MONETAIRE"))&lt;0.0001,TRUE)</f>
        <v>1</v>
      </c>
      <c r="U70" s="20" t="b">
        <f>IF(AND(U61&gt;=0,adProjIteration&lt;=adProjHorizon),ABS(U66-SUMIFS(#REF!,#REF!,adProjCdCanton,#REF!,"MONETAIRE"))&lt;0.0001,TRUE)</f>
        <v>1</v>
      </c>
      <c r="V70" s="20" t="b">
        <f>IF(AND(V61&gt;=0,adProjIteration&lt;=adProjHorizon),ABS(V66-SUMIFS(#REF!,#REF!,adProjCdCanton,#REF!,"MONETAIRE"))&lt;0.0001,TRUE)</f>
        <v>1</v>
      </c>
      <c r="W70" s="20" t="b">
        <f>IF(AND(W61&gt;=0,adProjIteration&lt;=adProjHorizon),ABS(W66-SUMIFS(#REF!,#REF!,adProjCdCanton,#REF!,"MONETAIRE"))&lt;0.0001,TRUE)</f>
        <v>1</v>
      </c>
      <c r="X70" s="20" t="b">
        <f>IF(AND(X61&gt;=0,adProjIteration&lt;=adProjHorizon),ABS(X66-SUMIFS(#REF!,#REF!,adProjCdCanton,#REF!,"MONETAIRE"))&lt;0.0001,TRUE)</f>
        <v>1</v>
      </c>
      <c r="Y70" s="20" t="b">
        <f>IF(AND(Y61&gt;=0,adProjIteration&lt;=adProjHorizon),ABS(Y66-SUMIFS(#REF!,#REF!,adProjCdCanton,#REF!,"MONETAIRE"))&lt;0.0001,TRUE)</f>
        <v>1</v>
      </c>
      <c r="Z70" s="20" t="b">
        <f>IF(AND(Z61&gt;=0,adProjIteration&lt;=adProjHorizon),ABS(Z66-SUMIFS(#REF!,#REF!,adProjCdCanton,#REF!,"MONETAIRE"))&lt;0.0001,TRUE)</f>
        <v>1</v>
      </c>
      <c r="AA70" s="20" t="b">
        <f>IF(AND(AA61&gt;=0,adProjIteration&lt;=adProjHorizon),ABS(AA66-SUMIFS(#REF!,#REF!,adProjCdCanton,#REF!,"MONETAIRE"))&lt;0.0001,TRUE)</f>
        <v>1</v>
      </c>
      <c r="AB70" s="20" t="b">
        <f>IF(AND(AB61&gt;=0,adProjIteration&lt;=adProjHorizon),ABS(AB66-SUMIFS(#REF!,#REF!,adProjCdCanton,#REF!,"MONETAIRE"))&lt;0.0001,TRUE)</f>
        <v>1</v>
      </c>
      <c r="AC70" s="20" t="b">
        <f>IF(AND(AC61&gt;=0,adProjIteration&lt;=adProjHorizon),ABS(AC66-SUMIFS(#REF!,#REF!,adProjCdCanton,#REF!,"MONETAIRE"))&lt;0.0001,TRUE)</f>
        <v>1</v>
      </c>
      <c r="AD70" s="20" t="b">
        <f>IF(AND(AD61&gt;=0,adProjIteration&lt;=adProjHorizon),ABS(AD66-SUMIFS(#REF!,#REF!,adProjCdCanton,#REF!,"MONETAIRE"))&lt;0.0001,TRUE)</f>
        <v>1</v>
      </c>
      <c r="AE70" s="20" t="b">
        <f>IF(AND(AE61&gt;=0,adProjIteration&lt;=adProjHorizon),ABS(AE66-SUMIFS(#REF!,#REF!,adProjCdCanton,#REF!,"MONETAIRE"))&lt;0.0001,TRUE)</f>
        <v>1</v>
      </c>
      <c r="AF70" s="20" t="b">
        <f>IF(AND(AF61&gt;=0,adProjIteration&lt;=adProjHorizon),ABS(AF66-SUMIFS(#REF!,#REF!,adProjCdCanton,#REF!,"MONETAIRE"))&lt;0.0001,TRUE)</f>
        <v>1</v>
      </c>
      <c r="AG70" s="20" t="b">
        <f>IF(AND(AG61&gt;=0,adProjIteration&lt;=adProjHorizon),ABS(AG66-SUMIFS(#REF!,#REF!,adProjCdCanton,#REF!,"MONETAIRE"))&lt;0.0001,TRUE)</f>
        <v>1</v>
      </c>
      <c r="AH70" s="20" t="b">
        <f>IF(AND(AH61&gt;=0,adProjIteration&lt;=adProjHorizon),ABS(AH66-SUMIFS(#REF!,#REF!,adProjCdCanton,#REF!,"MONETAIRE"))&lt;0.0001,TRUE)</f>
        <v>1</v>
      </c>
      <c r="AI70" s="20" t="b">
        <f>IF(AND(AI61&gt;=0,adProjIteration&lt;=adProjHorizon),ABS(AI66-SUMIFS(#REF!,#REF!,adProjCdCanton,#REF!,"MONETAIRE"))&lt;0.0001,TRUE)</f>
        <v>1</v>
      </c>
      <c r="AJ70" s="20" t="b">
        <f>IF(AND(AJ61&gt;=0,adProjIteration&lt;=adProjHorizon),ABS(AJ66-SUMIFS(#REF!,#REF!,adProjCdCanton,#REF!,"MONETAIRE"))&lt;0.0001,TRUE)</f>
        <v>1</v>
      </c>
      <c r="AK70" s="20" t="b">
        <f>IF(AND(AK61&gt;=0,adProjIteration&lt;=adProjHorizon),ABS(AK66-SUMIFS(#REF!,#REF!,adProjCdCanton,#REF!,"MONETAIRE"))&lt;0.0001,TRUE)</f>
        <v>1</v>
      </c>
      <c r="AL70" s="20" t="b">
        <f>IF(AND(AL61&gt;=0,adProjIteration&lt;=adProjHorizon),ABS(AL66-SUMIFS(#REF!,#REF!,adProjCdCanton,#REF!,"MONETAIRE"))&lt;0.0001,TRUE)</f>
        <v>1</v>
      </c>
      <c r="AM70" s="20" t="b">
        <f>IF(AND(AM61&gt;=0,adProjIteration&lt;=adProjHorizon),ABS(AM66-SUMIFS(#REF!,#REF!,adProjCdCanton,#REF!,"MONETAIRE"))&lt;0.0001,TRUE)</f>
        <v>1</v>
      </c>
      <c r="AN70" s="20" t="b">
        <f>IF(AND(AN61&gt;=0,adProjIteration&lt;=adProjHorizon),ABS(AN66-SUMIFS(#REF!,#REF!,adProjCdCanton,#REF!,"MONETAIRE"))&lt;0.0001,TRUE)</f>
        <v>1</v>
      </c>
      <c r="AO70" s="20" t="b">
        <f>IF(AND(AO61&gt;=0,adProjIteration&lt;=adProjHorizon),ABS(AO66-SUMIFS(#REF!,#REF!,adProjCdCanton,#REF!,"MONETAIRE"))&lt;0.0001,TRUE)</f>
        <v>1</v>
      </c>
      <c r="AP70" s="20" t="b">
        <f>IF(AND(AP61&gt;=0,adProjIteration&lt;=adProjHorizon),ABS(AP66-SUMIFS(#REF!,#REF!,adProjCdCanton,#REF!,"MONETAIRE"))&lt;0.0001,TRUE)</f>
        <v>1</v>
      </c>
      <c r="AQ70" s="20" t="b">
        <f>IF(AND(AQ61&gt;=0,adProjIteration&lt;=adProjHorizon),ABS(AQ66-SUMIFS(#REF!,#REF!,adProjCdCanton,#REF!,"MONETAIRE"))&lt;0.0001,TRUE)</f>
        <v>1</v>
      </c>
      <c r="AR70" s="20" t="b">
        <f>IF(AND(AR61&gt;=0,adProjIteration&lt;=adProjHorizon),ABS(AR66-SUMIFS(#REF!,#REF!,adProjCdCanton,#REF!,"MONETAIRE"))&lt;0.0001,TRUE)</f>
        <v>1</v>
      </c>
      <c r="AS70" s="20" t="b">
        <f>IF(AND(AS61&gt;=0,adProjIteration&lt;=adProjHorizon),ABS(AS66-SUMIFS(#REF!,#REF!,adProjCdCanton,#REF!,"MONETAIRE"))&lt;0.0001,TRUE)</f>
        <v>1</v>
      </c>
      <c r="AT70" s="20" t="b">
        <f>IF(AND(AT61&gt;=0,adProjIteration&lt;=adProjHorizon),ABS(AT66-SUMIFS(#REF!,#REF!,adProjCdCanton,#REF!,"MONETAIRE"))&lt;0.0001,TRUE)</f>
        <v>1</v>
      </c>
      <c r="AU70" s="20" t="b">
        <f>IF(AND(AU61&gt;=0,adProjIteration&lt;=adProjHorizon),ABS(AU66-SUMIFS(#REF!,#REF!,adProjCdCanton,#REF!,"MONETAIRE"))&lt;0.0001,TRUE)</f>
        <v>1</v>
      </c>
      <c r="AV70" s="20" t="b">
        <f>IF(AND(AV61&gt;=0,adProjIteration&lt;=adProjHorizon),ABS(AV66-SUMIFS(#REF!,#REF!,adProjCdCanton,#REF!,"MONETAIRE"))&lt;0.0001,TRUE)</f>
        <v>1</v>
      </c>
      <c r="AW70" s="20" t="b">
        <f>IF(AND(AW61&gt;=0,adProjIteration&lt;=adProjHorizon),ABS(AW66-SUMIFS(#REF!,#REF!,adProjCdCanton,#REF!,"MONETAIRE"))&lt;0.0001,TRUE)</f>
        <v>1</v>
      </c>
      <c r="AX70" s="20" t="b">
        <f>IF(AND(AX61&gt;=0,adProjIteration&lt;=adProjHorizon),ABS(AX66-SUMIFS(#REF!,#REF!,adProjCdCanton,#REF!,"MONETAIRE"))&lt;0.0001,TRUE)</f>
        <v>1</v>
      </c>
      <c r="AY70" s="20" t="b">
        <f>IF(AND(AY61&gt;=0,adProjIteration&lt;=adProjHorizon),ABS(AY66-SUMIFS(#REF!,#REF!,adProjCdCanton,#REF!,"MONETAIRE"))&lt;0.0001,TRUE)</f>
        <v>1</v>
      </c>
      <c r="AZ70" s="20" t="b">
        <f>IF(AND(AZ61&gt;=0,adProjIteration&lt;=adProjHorizon),ABS(AZ66-SUMIFS(#REF!,#REF!,adProjCdCanton,#REF!,"MONETAIRE"))&lt;0.0001,TRUE)</f>
        <v>1</v>
      </c>
      <c r="BA70" s="20" t="b">
        <f>IF(AND(BA61&gt;=0,adProjIteration&lt;=adProjHorizon),ABS(BA66-SUMIFS(#REF!,#REF!,adProjCdCanton,#REF!,"MONETAIRE"))&lt;0.0001,TRUE)</f>
        <v>1</v>
      </c>
      <c r="BB70" s="20" t="b">
        <f>IF(AND(BB61&gt;=0,adProjIteration&lt;=adProjHorizon),ABS(BB66-SUMIFS(#REF!,#REF!,adProjCdCanton,#REF!,"MONETAIRE"))&lt;0.0001,TRUE)</f>
        <v>1</v>
      </c>
    </row>
    <row r="71" spans="1:55" ht="16.5" x14ac:dyDescent="0.3">
      <c r="B71" s="17"/>
      <c r="C71" s="14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</row>
    <row r="72" spans="1:55" ht="16.5" x14ac:dyDescent="0.3">
      <c r="B72" s="17"/>
      <c r="C72" s="18" t="s">
        <v>60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26"/>
    </row>
    <row r="73" spans="1:55" ht="16.5" x14ac:dyDescent="0.3">
      <c r="A73" s="1"/>
      <c r="B73" s="11"/>
      <c r="C73" s="14" t="s">
        <v>61</v>
      </c>
      <c r="D73" s="15">
        <f>SUMIFS(PrdAdActif!$K:$K,PrdAdActif!$B:$B,adProjChocS2,PrdAdActif!$C:$C,adProjScenario,PrdAdActif!$F:$F,adProjCdCanton,PrdAdActif!$G:$G,"OBLIGATION",PrdAdActif!$D:$D,adProjIteration,PrdAdActif!$I:$I,"=0.Init")+SUMIFS(PrdAdActif!$K:$K,PrdAdActif!$B:$B,adProjChocS2,PrdAdActif!$C:$C,adProjScenario,PrdAdActif!$F:$F,adProjCdCanton,PrdAdActif!$G:$G,"OBLIGATION",PrdAdActif!$D:$D,adProjIteration,PrdAdActif!$I:$I,"=3.AlmCr")</f>
        <v>0</v>
      </c>
      <c r="E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F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G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H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I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J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K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L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M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N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O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P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Q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R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S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T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U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V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W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X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Y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Z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A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B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C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D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E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F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G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H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I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J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K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L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M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N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O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P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Q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R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S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T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U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V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W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X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Y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AZ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BA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BB73" s="15">
        <f>SUMIFS(PrdAdActif!$K:$K,PrdAdActif!$B:$B,adProjChocS2,PrdAdActif!$C:$C,adProjScenario,PrdAdActif!$F:$F,adProjCdCanton,PrdAdActif!$G:$G,"OBLIGATION",PrdAdActif!$D:$D,adProjIteration,PrdAdActif!$I:$I,"0.Init")+SUMIFS(PrdAdActif!$K:$K,PrdAdActif!$B:$B,adProjChocS2,PrdAdActif!$C:$C,adProjScenario,PrdAdActif!$F:$F,adProjCdCanton,PrdAdActif!$G:$G,"OBLIGATION",PrdAdActif!$D:$D,adProjIteration,PrdAdActif!$I:$I,"3.AlmCr")</f>
        <v>0</v>
      </c>
      <c r="BC73" s="26"/>
    </row>
    <row r="74" spans="1:55" ht="16.5" x14ac:dyDescent="0.3">
      <c r="A74" s="16"/>
      <c r="B74" s="11"/>
      <c r="C74" s="14" t="s">
        <v>62</v>
      </c>
      <c r="D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E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F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G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H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I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J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K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L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M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N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O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P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Q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R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S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T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U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V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W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X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Y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Z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A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B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C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D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E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F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G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H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I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J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K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L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M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N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O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P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Q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R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S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T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U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V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W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X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Y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AZ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BA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BB74" s="15">
        <f>SUMIFS(PrdAdActif!$K:$K,PrdAdActif!$B:$B,adProjChocS2,PrdAdActif!$C:$C,adProjScenario,PrdAdActif!$F:$F,adProjCdCanton,PrdAdActif!$G:$G,"IMMOBILIER",PrdAdActif!$D:$D,adProjIteration,PrdAdActif!$I:$I,"0.Init")+SUMIFS(PrdAdActif!$K:$K,PrdAdActif!$B:$B,adProjChocS2,PrdAdActif!$C:$C,adProjScenario,PrdAdActif!$F:$F,adProjCdCanton,PrdAdActif!$G:$G,"IMMOBILIER",PrdAdActif!$D:$D,adProjIteration,PrdAdActif!$I:$I,"3.AlmCr")</f>
        <v>0</v>
      </c>
      <c r="BC74" s="26"/>
    </row>
    <row r="75" spans="1:55" ht="16.5" x14ac:dyDescent="0.3">
      <c r="A75" s="1"/>
      <c r="B75" s="17"/>
      <c r="C75" s="14" t="s">
        <v>63</v>
      </c>
      <c r="D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E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F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G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H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I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J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K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L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M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N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O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P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Q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R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S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T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U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V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W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X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Y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Z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A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B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C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D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E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F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G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H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I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J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K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L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M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N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O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P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Q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R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S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T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U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V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W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X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Y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AZ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BA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BB75" s="15">
        <f>SUMIFS(PrdAdActif!$K:$K,PrdAdActif!$B:$B,adProjChocS2,PrdAdActif!$C:$C,adProjScenario,PrdAdActif!$F:$F,adProjCdCanton,PrdAdActif!$G:$G,"ACTION",PrdAdActif!$D:$D,adProjIteration,PrdAdActif!$I:$I,"0.Init")+SUMIFS(PrdAdActif!$K:$K,PrdAdActif!$B:$B,adProjChocS2,PrdAdActif!$C:$C,adProjScenario,PrdAdActif!$F:$F,adProjCdCanton,PrdAdActif!$G:$G,"ACTION",PrdAdActif!$D:$D,adProjIteration,PrdAdActif!$I:$I,"3.AlmCr")</f>
        <v>0</v>
      </c>
      <c r="BC75" s="26"/>
    </row>
    <row r="76" spans="1:55" ht="16.5" x14ac:dyDescent="0.3">
      <c r="B76" s="17"/>
      <c r="C76" s="14" t="s">
        <v>64</v>
      </c>
      <c r="D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E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F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G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H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I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J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K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L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M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N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O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P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Q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R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S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T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U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V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W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X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Y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Z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A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B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C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D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E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F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G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H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I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J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K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L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M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N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O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P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Q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R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S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T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U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V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W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X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Y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AZ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BA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BB76" s="15">
        <f>SUMIFS(PrdAdActif!$M:$M,PrdAdActif!$B:$B,adProjChocS2,PrdAdActif!$C:$C,adProjScenario,PrdAdActif!$F:$F,adProjCdCanton,PrdAdActif!$G:$G,"MONETAIRE",PrdAdActif!$D:$D,adProjIteration,PrdAdActif!$I:$I,"0.Init")+SUMIFS(PrdAdActif!$M:$M,PrdAdActif!$B:$B,adProjChocS2,PrdAdActif!$C:$C,adProjScenario,PrdAdActif!$F:$F,adProjCdCanton,PrdAdActif!$G:$G,"MONETAIRE",PrdAdActif!$D:$D,adProjIteration,PrdAdActif!$I:$I,"3.AlmCr")</f>
        <v>0</v>
      </c>
      <c r="BC76" s="26"/>
    </row>
    <row r="77" spans="1:55" ht="16.5" x14ac:dyDescent="0.3">
      <c r="B77" s="17"/>
      <c r="C77" s="14" t="s">
        <v>65</v>
      </c>
      <c r="D77" s="15">
        <f t="shared" ref="D77:BB77" si="27">SUM(D73:D76)</f>
        <v>0</v>
      </c>
      <c r="E77" s="15">
        <f t="shared" si="27"/>
        <v>0</v>
      </c>
      <c r="F77" s="15">
        <f t="shared" si="27"/>
        <v>0</v>
      </c>
      <c r="G77" s="15">
        <f t="shared" si="27"/>
        <v>0</v>
      </c>
      <c r="H77" s="15">
        <f t="shared" si="27"/>
        <v>0</v>
      </c>
      <c r="I77" s="15">
        <f t="shared" si="27"/>
        <v>0</v>
      </c>
      <c r="J77" s="15">
        <f t="shared" si="27"/>
        <v>0</v>
      </c>
      <c r="K77" s="15">
        <f t="shared" si="27"/>
        <v>0</v>
      </c>
      <c r="L77" s="15">
        <f t="shared" si="27"/>
        <v>0</v>
      </c>
      <c r="M77" s="15">
        <f t="shared" si="27"/>
        <v>0</v>
      </c>
      <c r="N77" s="15">
        <f t="shared" si="27"/>
        <v>0</v>
      </c>
      <c r="O77" s="15">
        <f t="shared" si="27"/>
        <v>0</v>
      </c>
      <c r="P77" s="15">
        <f t="shared" si="27"/>
        <v>0</v>
      </c>
      <c r="Q77" s="15">
        <f t="shared" si="27"/>
        <v>0</v>
      </c>
      <c r="R77" s="15">
        <f t="shared" si="27"/>
        <v>0</v>
      </c>
      <c r="S77" s="15">
        <f t="shared" si="27"/>
        <v>0</v>
      </c>
      <c r="T77" s="15">
        <f t="shared" si="27"/>
        <v>0</v>
      </c>
      <c r="U77" s="15">
        <f t="shared" si="27"/>
        <v>0</v>
      </c>
      <c r="V77" s="15">
        <f t="shared" si="27"/>
        <v>0</v>
      </c>
      <c r="W77" s="15">
        <f t="shared" si="27"/>
        <v>0</v>
      </c>
      <c r="X77" s="15">
        <f t="shared" si="27"/>
        <v>0</v>
      </c>
      <c r="Y77" s="15">
        <f t="shared" si="27"/>
        <v>0</v>
      </c>
      <c r="Z77" s="15">
        <f t="shared" si="27"/>
        <v>0</v>
      </c>
      <c r="AA77" s="15">
        <f t="shared" si="27"/>
        <v>0</v>
      </c>
      <c r="AB77" s="15">
        <f t="shared" si="27"/>
        <v>0</v>
      </c>
      <c r="AC77" s="15">
        <f t="shared" si="27"/>
        <v>0</v>
      </c>
      <c r="AD77" s="15">
        <f t="shared" si="27"/>
        <v>0</v>
      </c>
      <c r="AE77" s="15">
        <f t="shared" si="27"/>
        <v>0</v>
      </c>
      <c r="AF77" s="15">
        <f t="shared" si="27"/>
        <v>0</v>
      </c>
      <c r="AG77" s="15">
        <f t="shared" si="27"/>
        <v>0</v>
      </c>
      <c r="AH77" s="15">
        <f t="shared" si="27"/>
        <v>0</v>
      </c>
      <c r="AI77" s="15">
        <f t="shared" si="27"/>
        <v>0</v>
      </c>
      <c r="AJ77" s="15">
        <f t="shared" si="27"/>
        <v>0</v>
      </c>
      <c r="AK77" s="15">
        <f t="shared" si="27"/>
        <v>0</v>
      </c>
      <c r="AL77" s="15">
        <f t="shared" si="27"/>
        <v>0</v>
      </c>
      <c r="AM77" s="15">
        <f t="shared" si="27"/>
        <v>0</v>
      </c>
      <c r="AN77" s="15">
        <f t="shared" si="27"/>
        <v>0</v>
      </c>
      <c r="AO77" s="15">
        <f t="shared" si="27"/>
        <v>0</v>
      </c>
      <c r="AP77" s="15">
        <f t="shared" si="27"/>
        <v>0</v>
      </c>
      <c r="AQ77" s="15">
        <f t="shared" si="27"/>
        <v>0</v>
      </c>
      <c r="AR77" s="15">
        <f t="shared" si="27"/>
        <v>0</v>
      </c>
      <c r="AS77" s="15">
        <f t="shared" si="27"/>
        <v>0</v>
      </c>
      <c r="AT77" s="15">
        <f t="shared" si="27"/>
        <v>0</v>
      </c>
      <c r="AU77" s="15">
        <f t="shared" si="27"/>
        <v>0</v>
      </c>
      <c r="AV77" s="15">
        <f t="shared" si="27"/>
        <v>0</v>
      </c>
      <c r="AW77" s="15">
        <f t="shared" si="27"/>
        <v>0</v>
      </c>
      <c r="AX77" s="15">
        <f t="shared" si="27"/>
        <v>0</v>
      </c>
      <c r="AY77" s="15">
        <f t="shared" si="27"/>
        <v>0</v>
      </c>
      <c r="AZ77" s="15">
        <f t="shared" si="27"/>
        <v>0</v>
      </c>
      <c r="BA77" s="15">
        <f t="shared" si="27"/>
        <v>0</v>
      </c>
      <c r="BB77" s="15">
        <f t="shared" si="27"/>
        <v>0</v>
      </c>
      <c r="BC77" s="26"/>
    </row>
    <row r="78" spans="1:55" ht="16.5" x14ac:dyDescent="0.3">
      <c r="B78" s="17"/>
      <c r="C78" s="14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26"/>
    </row>
    <row r="79" spans="1:55" ht="16.5" x14ac:dyDescent="0.3">
      <c r="B79" s="17"/>
      <c r="C79" s="18" t="s">
        <v>66</v>
      </c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26"/>
    </row>
    <row r="80" spans="1:55" ht="16.5" x14ac:dyDescent="0.3">
      <c r="A80" s="1"/>
      <c r="B80" s="11"/>
      <c r="C80" s="14" t="s">
        <v>67</v>
      </c>
      <c r="D80" s="15">
        <f t="shared" ref="D80:BB84" si="28">D73-D13</f>
        <v>0</v>
      </c>
      <c r="E80" s="15">
        <f t="shared" si="28"/>
        <v>0</v>
      </c>
      <c r="F80" s="15">
        <f t="shared" si="28"/>
        <v>0</v>
      </c>
      <c r="G80" s="15">
        <f t="shared" si="28"/>
        <v>0</v>
      </c>
      <c r="H80" s="15">
        <f t="shared" si="28"/>
        <v>0</v>
      </c>
      <c r="I80" s="15">
        <f t="shared" si="28"/>
        <v>0</v>
      </c>
      <c r="J80" s="15">
        <f t="shared" si="28"/>
        <v>0</v>
      </c>
      <c r="K80" s="15">
        <f t="shared" si="28"/>
        <v>0</v>
      </c>
      <c r="L80" s="15">
        <f t="shared" si="28"/>
        <v>0</v>
      </c>
      <c r="M80" s="15">
        <f t="shared" si="28"/>
        <v>0</v>
      </c>
      <c r="N80" s="15">
        <f t="shared" si="28"/>
        <v>0</v>
      </c>
      <c r="O80" s="15">
        <f t="shared" si="28"/>
        <v>0</v>
      </c>
      <c r="P80" s="15">
        <f t="shared" si="28"/>
        <v>0</v>
      </c>
      <c r="Q80" s="15">
        <f t="shared" si="28"/>
        <v>0</v>
      </c>
      <c r="R80" s="15">
        <f t="shared" si="28"/>
        <v>0</v>
      </c>
      <c r="S80" s="15">
        <f t="shared" si="28"/>
        <v>0</v>
      </c>
      <c r="T80" s="15">
        <f t="shared" si="28"/>
        <v>0</v>
      </c>
      <c r="U80" s="15">
        <f t="shared" si="28"/>
        <v>0</v>
      </c>
      <c r="V80" s="15">
        <f t="shared" si="28"/>
        <v>0</v>
      </c>
      <c r="W80" s="15">
        <f t="shared" si="28"/>
        <v>0</v>
      </c>
      <c r="X80" s="15">
        <f t="shared" si="28"/>
        <v>0</v>
      </c>
      <c r="Y80" s="15">
        <f t="shared" si="28"/>
        <v>0</v>
      </c>
      <c r="Z80" s="15">
        <f t="shared" si="28"/>
        <v>0</v>
      </c>
      <c r="AA80" s="15">
        <f t="shared" si="28"/>
        <v>0</v>
      </c>
      <c r="AB80" s="15">
        <f t="shared" si="28"/>
        <v>0</v>
      </c>
      <c r="AC80" s="15">
        <f t="shared" si="28"/>
        <v>0</v>
      </c>
      <c r="AD80" s="15">
        <f t="shared" si="28"/>
        <v>0</v>
      </c>
      <c r="AE80" s="15">
        <f t="shared" si="28"/>
        <v>0</v>
      </c>
      <c r="AF80" s="15">
        <f t="shared" si="28"/>
        <v>0</v>
      </c>
      <c r="AG80" s="15">
        <f t="shared" si="28"/>
        <v>0</v>
      </c>
      <c r="AH80" s="15">
        <f t="shared" si="28"/>
        <v>0</v>
      </c>
      <c r="AI80" s="15">
        <f t="shared" si="28"/>
        <v>0</v>
      </c>
      <c r="AJ80" s="15">
        <f t="shared" si="28"/>
        <v>0</v>
      </c>
      <c r="AK80" s="15">
        <f t="shared" si="28"/>
        <v>0</v>
      </c>
      <c r="AL80" s="15">
        <f t="shared" si="28"/>
        <v>0</v>
      </c>
      <c r="AM80" s="15">
        <f t="shared" si="28"/>
        <v>0</v>
      </c>
      <c r="AN80" s="15">
        <f t="shared" si="28"/>
        <v>0</v>
      </c>
      <c r="AO80" s="15">
        <f t="shared" si="28"/>
        <v>0</v>
      </c>
      <c r="AP80" s="15">
        <f t="shared" si="28"/>
        <v>0</v>
      </c>
      <c r="AQ80" s="15">
        <f t="shared" si="28"/>
        <v>0</v>
      </c>
      <c r="AR80" s="15">
        <f t="shared" si="28"/>
        <v>0</v>
      </c>
      <c r="AS80" s="15">
        <f t="shared" si="28"/>
        <v>0</v>
      </c>
      <c r="AT80" s="15">
        <f t="shared" si="28"/>
        <v>0</v>
      </c>
      <c r="AU80" s="15">
        <f t="shared" si="28"/>
        <v>0</v>
      </c>
      <c r="AV80" s="15">
        <f t="shared" si="28"/>
        <v>0</v>
      </c>
      <c r="AW80" s="15">
        <f t="shared" si="28"/>
        <v>0</v>
      </c>
      <c r="AX80" s="15">
        <f t="shared" si="28"/>
        <v>0</v>
      </c>
      <c r="AY80" s="15">
        <f t="shared" si="28"/>
        <v>0</v>
      </c>
      <c r="AZ80" s="15">
        <f t="shared" si="28"/>
        <v>0</v>
      </c>
      <c r="BA80" s="15">
        <f t="shared" si="28"/>
        <v>0</v>
      </c>
      <c r="BB80" s="15">
        <f t="shared" si="28"/>
        <v>0</v>
      </c>
      <c r="BC80" s="26"/>
    </row>
    <row r="81" spans="1:55" ht="16.5" x14ac:dyDescent="0.3">
      <c r="A81" s="16"/>
      <c r="B81" s="11"/>
      <c r="C81" s="14" t="s">
        <v>68</v>
      </c>
      <c r="D81" s="15">
        <f t="shared" si="28"/>
        <v>0</v>
      </c>
      <c r="E81" s="15">
        <f t="shared" si="28"/>
        <v>0</v>
      </c>
      <c r="F81" s="15">
        <f t="shared" si="28"/>
        <v>0</v>
      </c>
      <c r="G81" s="15">
        <f t="shared" si="28"/>
        <v>0</v>
      </c>
      <c r="H81" s="15">
        <f t="shared" si="28"/>
        <v>0</v>
      </c>
      <c r="I81" s="15">
        <f t="shared" si="28"/>
        <v>0</v>
      </c>
      <c r="J81" s="15">
        <f t="shared" si="28"/>
        <v>0</v>
      </c>
      <c r="K81" s="15">
        <f t="shared" si="28"/>
        <v>0</v>
      </c>
      <c r="L81" s="15">
        <f t="shared" si="28"/>
        <v>0</v>
      </c>
      <c r="M81" s="15">
        <f t="shared" si="28"/>
        <v>0</v>
      </c>
      <c r="N81" s="15">
        <f t="shared" si="28"/>
        <v>0</v>
      </c>
      <c r="O81" s="15">
        <f t="shared" si="28"/>
        <v>0</v>
      </c>
      <c r="P81" s="15">
        <f t="shared" si="28"/>
        <v>0</v>
      </c>
      <c r="Q81" s="15">
        <f t="shared" si="28"/>
        <v>0</v>
      </c>
      <c r="R81" s="15">
        <f t="shared" si="28"/>
        <v>0</v>
      </c>
      <c r="S81" s="15">
        <f t="shared" si="28"/>
        <v>0</v>
      </c>
      <c r="T81" s="15">
        <f t="shared" si="28"/>
        <v>0</v>
      </c>
      <c r="U81" s="15">
        <f t="shared" si="28"/>
        <v>0</v>
      </c>
      <c r="V81" s="15">
        <f t="shared" si="28"/>
        <v>0</v>
      </c>
      <c r="W81" s="15">
        <f t="shared" si="28"/>
        <v>0</v>
      </c>
      <c r="X81" s="15">
        <f t="shared" si="28"/>
        <v>0</v>
      </c>
      <c r="Y81" s="15">
        <f t="shared" si="28"/>
        <v>0</v>
      </c>
      <c r="Z81" s="15">
        <f t="shared" si="28"/>
        <v>0</v>
      </c>
      <c r="AA81" s="15">
        <f t="shared" si="28"/>
        <v>0</v>
      </c>
      <c r="AB81" s="15">
        <f t="shared" si="28"/>
        <v>0</v>
      </c>
      <c r="AC81" s="15">
        <f t="shared" si="28"/>
        <v>0</v>
      </c>
      <c r="AD81" s="15">
        <f t="shared" si="28"/>
        <v>0</v>
      </c>
      <c r="AE81" s="15">
        <f t="shared" si="28"/>
        <v>0</v>
      </c>
      <c r="AF81" s="15">
        <f t="shared" si="28"/>
        <v>0</v>
      </c>
      <c r="AG81" s="15">
        <f t="shared" si="28"/>
        <v>0</v>
      </c>
      <c r="AH81" s="15">
        <f t="shared" si="28"/>
        <v>0</v>
      </c>
      <c r="AI81" s="15">
        <f t="shared" si="28"/>
        <v>0</v>
      </c>
      <c r="AJ81" s="15">
        <f t="shared" si="28"/>
        <v>0</v>
      </c>
      <c r="AK81" s="15">
        <f t="shared" si="28"/>
        <v>0</v>
      </c>
      <c r="AL81" s="15">
        <f t="shared" si="28"/>
        <v>0</v>
      </c>
      <c r="AM81" s="15">
        <f t="shared" si="28"/>
        <v>0</v>
      </c>
      <c r="AN81" s="15">
        <f t="shared" si="28"/>
        <v>0</v>
      </c>
      <c r="AO81" s="15">
        <f t="shared" si="28"/>
        <v>0</v>
      </c>
      <c r="AP81" s="15">
        <f t="shared" si="28"/>
        <v>0</v>
      </c>
      <c r="AQ81" s="15">
        <f t="shared" si="28"/>
        <v>0</v>
      </c>
      <c r="AR81" s="15">
        <f t="shared" si="28"/>
        <v>0</v>
      </c>
      <c r="AS81" s="15">
        <f t="shared" si="28"/>
        <v>0</v>
      </c>
      <c r="AT81" s="15">
        <f t="shared" si="28"/>
        <v>0</v>
      </c>
      <c r="AU81" s="15">
        <f t="shared" si="28"/>
        <v>0</v>
      </c>
      <c r="AV81" s="15">
        <f t="shared" si="28"/>
        <v>0</v>
      </c>
      <c r="AW81" s="15">
        <f t="shared" si="28"/>
        <v>0</v>
      </c>
      <c r="AX81" s="15">
        <f t="shared" si="28"/>
        <v>0</v>
      </c>
      <c r="AY81" s="15">
        <f t="shared" si="28"/>
        <v>0</v>
      </c>
      <c r="AZ81" s="15">
        <f t="shared" si="28"/>
        <v>0</v>
      </c>
      <c r="BA81" s="15">
        <f t="shared" si="28"/>
        <v>0</v>
      </c>
      <c r="BB81" s="15">
        <f t="shared" si="28"/>
        <v>0</v>
      </c>
      <c r="BC81" s="26"/>
    </row>
    <row r="82" spans="1:55" ht="16.5" x14ac:dyDescent="0.3">
      <c r="A82" s="1"/>
      <c r="B82" s="17"/>
      <c r="C82" s="14" t="s">
        <v>69</v>
      </c>
      <c r="D82" s="15">
        <f t="shared" si="28"/>
        <v>0</v>
      </c>
      <c r="E82" s="15">
        <f t="shared" si="28"/>
        <v>0</v>
      </c>
      <c r="F82" s="15">
        <f t="shared" si="28"/>
        <v>0</v>
      </c>
      <c r="G82" s="15">
        <f t="shared" si="28"/>
        <v>0</v>
      </c>
      <c r="H82" s="15">
        <f t="shared" si="28"/>
        <v>0</v>
      </c>
      <c r="I82" s="15">
        <f t="shared" si="28"/>
        <v>0</v>
      </c>
      <c r="J82" s="15">
        <f t="shared" si="28"/>
        <v>0</v>
      </c>
      <c r="K82" s="15">
        <f t="shared" si="28"/>
        <v>0</v>
      </c>
      <c r="L82" s="15">
        <f t="shared" si="28"/>
        <v>0</v>
      </c>
      <c r="M82" s="15">
        <f t="shared" si="28"/>
        <v>0</v>
      </c>
      <c r="N82" s="15">
        <f t="shared" si="28"/>
        <v>0</v>
      </c>
      <c r="O82" s="15">
        <f t="shared" si="28"/>
        <v>0</v>
      </c>
      <c r="P82" s="15">
        <f t="shared" si="28"/>
        <v>0</v>
      </c>
      <c r="Q82" s="15">
        <f t="shared" si="28"/>
        <v>0</v>
      </c>
      <c r="R82" s="15">
        <f t="shared" si="28"/>
        <v>0</v>
      </c>
      <c r="S82" s="15">
        <f t="shared" si="28"/>
        <v>0</v>
      </c>
      <c r="T82" s="15">
        <f t="shared" si="28"/>
        <v>0</v>
      </c>
      <c r="U82" s="15">
        <f t="shared" si="28"/>
        <v>0</v>
      </c>
      <c r="V82" s="15">
        <f t="shared" si="28"/>
        <v>0</v>
      </c>
      <c r="W82" s="15">
        <f t="shared" si="28"/>
        <v>0</v>
      </c>
      <c r="X82" s="15">
        <f t="shared" si="28"/>
        <v>0</v>
      </c>
      <c r="Y82" s="15">
        <f t="shared" si="28"/>
        <v>0</v>
      </c>
      <c r="Z82" s="15">
        <f t="shared" si="28"/>
        <v>0</v>
      </c>
      <c r="AA82" s="15">
        <f t="shared" si="28"/>
        <v>0</v>
      </c>
      <c r="AB82" s="15">
        <f t="shared" si="28"/>
        <v>0</v>
      </c>
      <c r="AC82" s="15">
        <f t="shared" si="28"/>
        <v>0</v>
      </c>
      <c r="AD82" s="15">
        <f t="shared" si="28"/>
        <v>0</v>
      </c>
      <c r="AE82" s="15">
        <f t="shared" si="28"/>
        <v>0</v>
      </c>
      <c r="AF82" s="15">
        <f t="shared" si="28"/>
        <v>0</v>
      </c>
      <c r="AG82" s="15">
        <f t="shared" si="28"/>
        <v>0</v>
      </c>
      <c r="AH82" s="15">
        <f t="shared" si="28"/>
        <v>0</v>
      </c>
      <c r="AI82" s="15">
        <f t="shared" si="28"/>
        <v>0</v>
      </c>
      <c r="AJ82" s="15">
        <f t="shared" si="28"/>
        <v>0</v>
      </c>
      <c r="AK82" s="15">
        <f t="shared" si="28"/>
        <v>0</v>
      </c>
      <c r="AL82" s="15">
        <f t="shared" si="28"/>
        <v>0</v>
      </c>
      <c r="AM82" s="15">
        <f t="shared" si="28"/>
        <v>0</v>
      </c>
      <c r="AN82" s="15">
        <f t="shared" si="28"/>
        <v>0</v>
      </c>
      <c r="AO82" s="15">
        <f t="shared" si="28"/>
        <v>0</v>
      </c>
      <c r="AP82" s="15">
        <f t="shared" si="28"/>
        <v>0</v>
      </c>
      <c r="AQ82" s="15">
        <f t="shared" si="28"/>
        <v>0</v>
      </c>
      <c r="AR82" s="15">
        <f t="shared" si="28"/>
        <v>0</v>
      </c>
      <c r="AS82" s="15">
        <f t="shared" si="28"/>
        <v>0</v>
      </c>
      <c r="AT82" s="15">
        <f t="shared" si="28"/>
        <v>0</v>
      </c>
      <c r="AU82" s="15">
        <f t="shared" si="28"/>
        <v>0</v>
      </c>
      <c r="AV82" s="15">
        <f t="shared" si="28"/>
        <v>0</v>
      </c>
      <c r="AW82" s="15">
        <f t="shared" si="28"/>
        <v>0</v>
      </c>
      <c r="AX82" s="15">
        <f t="shared" si="28"/>
        <v>0</v>
      </c>
      <c r="AY82" s="15">
        <f t="shared" si="28"/>
        <v>0</v>
      </c>
      <c r="AZ82" s="15">
        <f t="shared" si="28"/>
        <v>0</v>
      </c>
      <c r="BA82" s="15">
        <f t="shared" si="28"/>
        <v>0</v>
      </c>
      <c r="BB82" s="15">
        <f t="shared" si="28"/>
        <v>0</v>
      </c>
      <c r="BC82" s="26"/>
    </row>
    <row r="83" spans="1:55" ht="16.5" x14ac:dyDescent="0.3">
      <c r="B83" s="17"/>
      <c r="C83" s="14" t="s">
        <v>70</v>
      </c>
      <c r="D83" s="15">
        <f t="shared" si="28"/>
        <v>0</v>
      </c>
      <c r="E83" s="15">
        <f t="shared" si="28"/>
        <v>0</v>
      </c>
      <c r="F83" s="15">
        <f t="shared" si="28"/>
        <v>0</v>
      </c>
      <c r="G83" s="15">
        <f t="shared" si="28"/>
        <v>0</v>
      </c>
      <c r="H83" s="15">
        <f t="shared" si="28"/>
        <v>0</v>
      </c>
      <c r="I83" s="15">
        <f t="shared" si="28"/>
        <v>0</v>
      </c>
      <c r="J83" s="15">
        <f t="shared" si="28"/>
        <v>0</v>
      </c>
      <c r="K83" s="15">
        <f t="shared" si="28"/>
        <v>0</v>
      </c>
      <c r="L83" s="15">
        <f t="shared" si="28"/>
        <v>0</v>
      </c>
      <c r="M83" s="15">
        <f t="shared" si="28"/>
        <v>0</v>
      </c>
      <c r="N83" s="15">
        <f t="shared" si="28"/>
        <v>0</v>
      </c>
      <c r="O83" s="15">
        <f t="shared" si="28"/>
        <v>0</v>
      </c>
      <c r="P83" s="15">
        <f t="shared" si="28"/>
        <v>0</v>
      </c>
      <c r="Q83" s="15">
        <f t="shared" si="28"/>
        <v>0</v>
      </c>
      <c r="R83" s="15">
        <f t="shared" si="28"/>
        <v>0</v>
      </c>
      <c r="S83" s="15">
        <f t="shared" si="28"/>
        <v>0</v>
      </c>
      <c r="T83" s="15">
        <f t="shared" si="28"/>
        <v>0</v>
      </c>
      <c r="U83" s="15">
        <f t="shared" si="28"/>
        <v>0</v>
      </c>
      <c r="V83" s="15">
        <f t="shared" si="28"/>
        <v>0</v>
      </c>
      <c r="W83" s="15">
        <f t="shared" si="28"/>
        <v>0</v>
      </c>
      <c r="X83" s="15">
        <f t="shared" si="28"/>
        <v>0</v>
      </c>
      <c r="Y83" s="15">
        <f t="shared" si="28"/>
        <v>0</v>
      </c>
      <c r="Z83" s="15">
        <f t="shared" si="28"/>
        <v>0</v>
      </c>
      <c r="AA83" s="15">
        <f t="shared" si="28"/>
        <v>0</v>
      </c>
      <c r="AB83" s="15">
        <f t="shared" si="28"/>
        <v>0</v>
      </c>
      <c r="AC83" s="15">
        <f t="shared" si="28"/>
        <v>0</v>
      </c>
      <c r="AD83" s="15">
        <f t="shared" si="28"/>
        <v>0</v>
      </c>
      <c r="AE83" s="15">
        <f t="shared" si="28"/>
        <v>0</v>
      </c>
      <c r="AF83" s="15">
        <f t="shared" si="28"/>
        <v>0</v>
      </c>
      <c r="AG83" s="15">
        <f t="shared" si="28"/>
        <v>0</v>
      </c>
      <c r="AH83" s="15">
        <f t="shared" si="28"/>
        <v>0</v>
      </c>
      <c r="AI83" s="15">
        <f t="shared" si="28"/>
        <v>0</v>
      </c>
      <c r="AJ83" s="15">
        <f t="shared" si="28"/>
        <v>0</v>
      </c>
      <c r="AK83" s="15">
        <f t="shared" si="28"/>
        <v>0</v>
      </c>
      <c r="AL83" s="15">
        <f t="shared" si="28"/>
        <v>0</v>
      </c>
      <c r="AM83" s="15">
        <f t="shared" si="28"/>
        <v>0</v>
      </c>
      <c r="AN83" s="15">
        <f t="shared" si="28"/>
        <v>0</v>
      </c>
      <c r="AO83" s="15">
        <f t="shared" si="28"/>
        <v>0</v>
      </c>
      <c r="AP83" s="15">
        <f t="shared" si="28"/>
        <v>0</v>
      </c>
      <c r="AQ83" s="15">
        <f t="shared" si="28"/>
        <v>0</v>
      </c>
      <c r="AR83" s="15">
        <f t="shared" si="28"/>
        <v>0</v>
      </c>
      <c r="AS83" s="15">
        <f t="shared" si="28"/>
        <v>0</v>
      </c>
      <c r="AT83" s="15">
        <f t="shared" si="28"/>
        <v>0</v>
      </c>
      <c r="AU83" s="15">
        <f t="shared" si="28"/>
        <v>0</v>
      </c>
      <c r="AV83" s="15">
        <f t="shared" si="28"/>
        <v>0</v>
      </c>
      <c r="AW83" s="15">
        <f t="shared" si="28"/>
        <v>0</v>
      </c>
      <c r="AX83" s="15">
        <f t="shared" si="28"/>
        <v>0</v>
      </c>
      <c r="AY83" s="15">
        <f t="shared" si="28"/>
        <v>0</v>
      </c>
      <c r="AZ83" s="15">
        <f t="shared" si="28"/>
        <v>0</v>
      </c>
      <c r="BA83" s="15">
        <f t="shared" si="28"/>
        <v>0</v>
      </c>
      <c r="BB83" s="15">
        <f t="shared" si="28"/>
        <v>0</v>
      </c>
      <c r="BC83" s="26"/>
    </row>
    <row r="84" spans="1:55" ht="16.5" x14ac:dyDescent="0.3">
      <c r="B84" s="17"/>
      <c r="C84" s="14" t="s">
        <v>71</v>
      </c>
      <c r="D84" s="15">
        <f t="shared" si="28"/>
        <v>0</v>
      </c>
      <c r="E84" s="15">
        <f t="shared" si="28"/>
        <v>0</v>
      </c>
      <c r="F84" s="15">
        <f t="shared" si="28"/>
        <v>0</v>
      </c>
      <c r="G84" s="15">
        <f t="shared" si="28"/>
        <v>0</v>
      </c>
      <c r="H84" s="15">
        <f t="shared" si="28"/>
        <v>0</v>
      </c>
      <c r="I84" s="15">
        <f t="shared" si="28"/>
        <v>0</v>
      </c>
      <c r="J84" s="15">
        <f t="shared" si="28"/>
        <v>0</v>
      </c>
      <c r="K84" s="15">
        <f t="shared" si="28"/>
        <v>0</v>
      </c>
      <c r="L84" s="15">
        <f t="shared" si="28"/>
        <v>0</v>
      </c>
      <c r="M84" s="15">
        <f t="shared" si="28"/>
        <v>0</v>
      </c>
      <c r="N84" s="15">
        <f t="shared" si="28"/>
        <v>0</v>
      </c>
      <c r="O84" s="15">
        <f t="shared" si="28"/>
        <v>0</v>
      </c>
      <c r="P84" s="15">
        <f t="shared" si="28"/>
        <v>0</v>
      </c>
      <c r="Q84" s="15">
        <f t="shared" si="28"/>
        <v>0</v>
      </c>
      <c r="R84" s="15">
        <f t="shared" si="28"/>
        <v>0</v>
      </c>
      <c r="S84" s="15">
        <f t="shared" si="28"/>
        <v>0</v>
      </c>
      <c r="T84" s="15">
        <f t="shared" si="28"/>
        <v>0</v>
      </c>
      <c r="U84" s="15">
        <f t="shared" si="28"/>
        <v>0</v>
      </c>
      <c r="V84" s="15">
        <f t="shared" si="28"/>
        <v>0</v>
      </c>
      <c r="W84" s="15">
        <f t="shared" si="28"/>
        <v>0</v>
      </c>
      <c r="X84" s="15">
        <f t="shared" si="28"/>
        <v>0</v>
      </c>
      <c r="Y84" s="15">
        <f t="shared" si="28"/>
        <v>0</v>
      </c>
      <c r="Z84" s="15">
        <f t="shared" si="28"/>
        <v>0</v>
      </c>
      <c r="AA84" s="15">
        <f t="shared" si="28"/>
        <v>0</v>
      </c>
      <c r="AB84" s="15">
        <f t="shared" si="28"/>
        <v>0</v>
      </c>
      <c r="AC84" s="15">
        <f t="shared" si="28"/>
        <v>0</v>
      </c>
      <c r="AD84" s="15">
        <f t="shared" si="28"/>
        <v>0</v>
      </c>
      <c r="AE84" s="15">
        <f t="shared" si="28"/>
        <v>0</v>
      </c>
      <c r="AF84" s="15">
        <f t="shared" si="28"/>
        <v>0</v>
      </c>
      <c r="AG84" s="15">
        <f t="shared" si="28"/>
        <v>0</v>
      </c>
      <c r="AH84" s="15">
        <f t="shared" si="28"/>
        <v>0</v>
      </c>
      <c r="AI84" s="15">
        <f t="shared" si="28"/>
        <v>0</v>
      </c>
      <c r="AJ84" s="15">
        <f t="shared" si="28"/>
        <v>0</v>
      </c>
      <c r="AK84" s="15">
        <f t="shared" si="28"/>
        <v>0</v>
      </c>
      <c r="AL84" s="15">
        <f t="shared" si="28"/>
        <v>0</v>
      </c>
      <c r="AM84" s="15">
        <f t="shared" si="28"/>
        <v>0</v>
      </c>
      <c r="AN84" s="15">
        <f t="shared" si="28"/>
        <v>0</v>
      </c>
      <c r="AO84" s="15">
        <f t="shared" si="28"/>
        <v>0</v>
      </c>
      <c r="AP84" s="15">
        <f t="shared" si="28"/>
        <v>0</v>
      </c>
      <c r="AQ84" s="15">
        <f t="shared" si="28"/>
        <v>0</v>
      </c>
      <c r="AR84" s="15">
        <f t="shared" si="28"/>
        <v>0</v>
      </c>
      <c r="AS84" s="15">
        <f t="shared" si="28"/>
        <v>0</v>
      </c>
      <c r="AT84" s="15">
        <f t="shared" si="28"/>
        <v>0</v>
      </c>
      <c r="AU84" s="15">
        <f t="shared" si="28"/>
        <v>0</v>
      </c>
      <c r="AV84" s="15">
        <f t="shared" si="28"/>
        <v>0</v>
      </c>
      <c r="AW84" s="15">
        <f t="shared" si="28"/>
        <v>0</v>
      </c>
      <c r="AX84" s="15">
        <f t="shared" si="28"/>
        <v>0</v>
      </c>
      <c r="AY84" s="15">
        <f t="shared" si="28"/>
        <v>0</v>
      </c>
      <c r="AZ84" s="15">
        <f t="shared" si="28"/>
        <v>0</v>
      </c>
      <c r="BA84" s="15">
        <f t="shared" si="28"/>
        <v>0</v>
      </c>
      <c r="BB84" s="15">
        <f t="shared" si="28"/>
        <v>0</v>
      </c>
      <c r="BC84" s="26"/>
    </row>
    <row r="85" spans="1:55" ht="16.5" x14ac:dyDescent="0.3">
      <c r="B85" s="17"/>
      <c r="C85" s="14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26"/>
    </row>
    <row r="86" spans="1:55" ht="16.5" x14ac:dyDescent="0.3">
      <c r="B86" s="17"/>
      <c r="C86" s="18" t="s">
        <v>72</v>
      </c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26"/>
    </row>
    <row r="87" spans="1:55" ht="16.5" x14ac:dyDescent="0.3">
      <c r="B87" s="17"/>
      <c r="C87" s="14" t="s">
        <v>73</v>
      </c>
      <c r="D87" s="15">
        <f>SUMIFS(#REF!,#REF!,adProjChocS2,#REF!,adProjCdCanton,#REF!,adProjIteration,#REF!,"1.Perf")</f>
        <v>0</v>
      </c>
      <c r="E87" s="15">
        <f>SUMIFS(#REF!,#REF!,adProjChocS2,#REF!,adProjCdCanton,#REF!,adProjIteration,#REF!,"1.Perf")</f>
        <v>0</v>
      </c>
      <c r="F87" s="15">
        <f>SUMIFS(#REF!,#REF!,adProjChocS2,#REF!,adProjCdCanton,#REF!,adProjIteration,#REF!,"1.Perf")</f>
        <v>0</v>
      </c>
      <c r="G87" s="15">
        <f>SUMIFS(#REF!,#REF!,adProjChocS2,#REF!,adProjCdCanton,#REF!,adProjIteration,#REF!,"1.Perf")</f>
        <v>0</v>
      </c>
      <c r="H87" s="15">
        <f>SUMIFS(#REF!,#REF!,adProjChocS2,#REF!,adProjCdCanton,#REF!,adProjIteration,#REF!,"1.Perf")</f>
        <v>0</v>
      </c>
      <c r="I87" s="15">
        <f>SUMIFS(#REF!,#REF!,adProjChocS2,#REF!,adProjCdCanton,#REF!,adProjIteration,#REF!,"1.Perf")</f>
        <v>0</v>
      </c>
      <c r="J87" s="15">
        <f>SUMIFS(#REF!,#REF!,adProjChocS2,#REF!,adProjCdCanton,#REF!,adProjIteration,#REF!,"1.Perf")</f>
        <v>0</v>
      </c>
      <c r="K87" s="15">
        <f>SUMIFS(#REF!,#REF!,adProjChocS2,#REF!,adProjCdCanton,#REF!,adProjIteration,#REF!,"1.Perf")</f>
        <v>0</v>
      </c>
      <c r="L87" s="15">
        <f>SUMIFS(#REF!,#REF!,adProjChocS2,#REF!,adProjCdCanton,#REF!,adProjIteration,#REF!,"1.Perf")</f>
        <v>0</v>
      </c>
      <c r="M87" s="15">
        <f>SUMIFS(#REF!,#REF!,adProjChocS2,#REF!,adProjCdCanton,#REF!,adProjIteration,#REF!,"1.Perf")</f>
        <v>0</v>
      </c>
      <c r="N87" s="15">
        <f>SUMIFS(#REF!,#REF!,adProjChocS2,#REF!,adProjCdCanton,#REF!,adProjIteration,#REF!,"1.Perf")</f>
        <v>0</v>
      </c>
      <c r="O87" s="15">
        <f>SUMIFS(#REF!,#REF!,adProjChocS2,#REF!,adProjCdCanton,#REF!,adProjIteration,#REF!,"1.Perf")</f>
        <v>0</v>
      </c>
      <c r="P87" s="15">
        <f>SUMIFS(#REF!,#REF!,adProjChocS2,#REF!,adProjCdCanton,#REF!,adProjIteration,#REF!,"1.Perf")</f>
        <v>0</v>
      </c>
      <c r="Q87" s="15">
        <f>SUMIFS(#REF!,#REF!,adProjChocS2,#REF!,adProjCdCanton,#REF!,adProjIteration,#REF!,"1.Perf")</f>
        <v>0</v>
      </c>
      <c r="R87" s="15">
        <f>SUMIFS(#REF!,#REF!,adProjChocS2,#REF!,adProjCdCanton,#REF!,adProjIteration,#REF!,"1.Perf")</f>
        <v>0</v>
      </c>
      <c r="S87" s="15">
        <f>SUMIFS(#REF!,#REF!,adProjChocS2,#REF!,adProjCdCanton,#REF!,adProjIteration,#REF!,"1.Perf")</f>
        <v>0</v>
      </c>
      <c r="T87" s="15">
        <f>SUMIFS(#REF!,#REF!,adProjChocS2,#REF!,adProjCdCanton,#REF!,adProjIteration,#REF!,"1.Perf")</f>
        <v>0</v>
      </c>
      <c r="U87" s="15">
        <f>SUMIFS(#REF!,#REF!,adProjChocS2,#REF!,adProjCdCanton,#REF!,adProjIteration,#REF!,"1.Perf")</f>
        <v>0</v>
      </c>
      <c r="V87" s="15">
        <f>SUMIFS(#REF!,#REF!,adProjChocS2,#REF!,adProjCdCanton,#REF!,adProjIteration,#REF!,"1.Perf")</f>
        <v>0</v>
      </c>
      <c r="W87" s="15">
        <f>SUMIFS(#REF!,#REF!,adProjChocS2,#REF!,adProjCdCanton,#REF!,adProjIteration,#REF!,"1.Perf")</f>
        <v>0</v>
      </c>
      <c r="X87" s="15">
        <f>SUMIFS(#REF!,#REF!,adProjChocS2,#REF!,adProjCdCanton,#REF!,adProjIteration,#REF!,"1.Perf")</f>
        <v>0</v>
      </c>
      <c r="Y87" s="15">
        <f>SUMIFS(#REF!,#REF!,adProjChocS2,#REF!,adProjCdCanton,#REF!,adProjIteration,#REF!,"1.Perf")</f>
        <v>0</v>
      </c>
      <c r="Z87" s="15">
        <f>SUMIFS(#REF!,#REF!,adProjChocS2,#REF!,adProjCdCanton,#REF!,adProjIteration,#REF!,"1.Perf")</f>
        <v>0</v>
      </c>
      <c r="AA87" s="15">
        <f>SUMIFS(#REF!,#REF!,adProjChocS2,#REF!,adProjCdCanton,#REF!,adProjIteration,#REF!,"1.Perf")</f>
        <v>0</v>
      </c>
      <c r="AB87" s="15">
        <f>SUMIFS(#REF!,#REF!,adProjChocS2,#REF!,adProjCdCanton,#REF!,adProjIteration,#REF!,"1.Perf")</f>
        <v>0</v>
      </c>
      <c r="AC87" s="15">
        <f>SUMIFS(#REF!,#REF!,adProjChocS2,#REF!,adProjCdCanton,#REF!,adProjIteration,#REF!,"1.Perf")</f>
        <v>0</v>
      </c>
      <c r="AD87" s="15">
        <f>SUMIFS(#REF!,#REF!,adProjChocS2,#REF!,adProjCdCanton,#REF!,adProjIteration,#REF!,"1.Perf")</f>
        <v>0</v>
      </c>
      <c r="AE87" s="15">
        <f>SUMIFS(#REF!,#REF!,adProjChocS2,#REF!,adProjCdCanton,#REF!,adProjIteration,#REF!,"1.Perf")</f>
        <v>0</v>
      </c>
      <c r="AF87" s="15">
        <f>SUMIFS(#REF!,#REF!,adProjChocS2,#REF!,adProjCdCanton,#REF!,adProjIteration,#REF!,"1.Perf")</f>
        <v>0</v>
      </c>
      <c r="AG87" s="15">
        <f>SUMIFS(#REF!,#REF!,adProjChocS2,#REF!,adProjCdCanton,#REF!,adProjIteration,#REF!,"1.Perf")</f>
        <v>0</v>
      </c>
      <c r="AH87" s="15">
        <f>SUMIFS(#REF!,#REF!,adProjChocS2,#REF!,adProjCdCanton,#REF!,adProjIteration,#REF!,"1.Perf")</f>
        <v>0</v>
      </c>
      <c r="AI87" s="15">
        <f>SUMIFS(#REF!,#REF!,adProjChocS2,#REF!,adProjCdCanton,#REF!,adProjIteration,#REF!,"1.Perf")</f>
        <v>0</v>
      </c>
      <c r="AJ87" s="15">
        <f>SUMIFS(#REF!,#REF!,adProjChocS2,#REF!,adProjCdCanton,#REF!,adProjIteration,#REF!,"1.Perf")</f>
        <v>0</v>
      </c>
      <c r="AK87" s="15">
        <f>SUMIFS(#REF!,#REF!,adProjChocS2,#REF!,adProjCdCanton,#REF!,adProjIteration,#REF!,"1.Perf")</f>
        <v>0</v>
      </c>
      <c r="AL87" s="15">
        <f>SUMIFS(#REF!,#REF!,adProjChocS2,#REF!,adProjCdCanton,#REF!,adProjIteration,#REF!,"1.Perf")</f>
        <v>0</v>
      </c>
      <c r="AM87" s="15">
        <f>SUMIFS(#REF!,#REF!,adProjChocS2,#REF!,adProjCdCanton,#REF!,adProjIteration,#REF!,"1.Perf")</f>
        <v>0</v>
      </c>
      <c r="AN87" s="15">
        <f>SUMIFS(#REF!,#REF!,adProjChocS2,#REF!,adProjCdCanton,#REF!,adProjIteration,#REF!,"1.Perf")</f>
        <v>0</v>
      </c>
      <c r="AO87" s="15">
        <f>SUMIFS(#REF!,#REF!,adProjChocS2,#REF!,adProjCdCanton,#REF!,adProjIteration,#REF!,"1.Perf")</f>
        <v>0</v>
      </c>
      <c r="AP87" s="15">
        <f>SUMIFS(#REF!,#REF!,adProjChocS2,#REF!,adProjCdCanton,#REF!,adProjIteration,#REF!,"1.Perf")</f>
        <v>0</v>
      </c>
      <c r="AQ87" s="15">
        <f>SUMIFS(#REF!,#REF!,adProjChocS2,#REF!,adProjCdCanton,#REF!,adProjIteration,#REF!,"1.Perf")</f>
        <v>0</v>
      </c>
      <c r="AR87" s="15">
        <f>SUMIFS(#REF!,#REF!,adProjChocS2,#REF!,adProjCdCanton,#REF!,adProjIteration,#REF!,"1.Perf")</f>
        <v>0</v>
      </c>
      <c r="AS87" s="15">
        <f>SUMIFS(#REF!,#REF!,adProjChocS2,#REF!,adProjCdCanton,#REF!,adProjIteration,#REF!,"1.Perf")</f>
        <v>0</v>
      </c>
      <c r="AT87" s="15">
        <f>SUMIFS(#REF!,#REF!,adProjChocS2,#REF!,adProjCdCanton,#REF!,adProjIteration,#REF!,"1.Perf")</f>
        <v>0</v>
      </c>
      <c r="AU87" s="15">
        <f>SUMIFS(#REF!,#REF!,adProjChocS2,#REF!,adProjCdCanton,#REF!,adProjIteration,#REF!,"1.Perf")</f>
        <v>0</v>
      </c>
      <c r="AV87" s="15">
        <f>SUMIFS(#REF!,#REF!,adProjChocS2,#REF!,adProjCdCanton,#REF!,adProjIteration,#REF!,"1.Perf")</f>
        <v>0</v>
      </c>
      <c r="AW87" s="15">
        <f>SUMIFS(#REF!,#REF!,adProjChocS2,#REF!,adProjCdCanton,#REF!,adProjIteration,#REF!,"1.Perf")</f>
        <v>0</v>
      </c>
      <c r="AX87" s="15">
        <f>SUMIFS(#REF!,#REF!,adProjChocS2,#REF!,adProjCdCanton,#REF!,adProjIteration,#REF!,"1.Perf")</f>
        <v>0</v>
      </c>
      <c r="AY87" s="15">
        <f>SUMIFS(#REF!,#REF!,adProjChocS2,#REF!,adProjCdCanton,#REF!,adProjIteration,#REF!,"1.Perf")</f>
        <v>0</v>
      </c>
      <c r="AZ87" s="15">
        <f>SUMIFS(#REF!,#REF!,adProjChocS2,#REF!,adProjCdCanton,#REF!,adProjIteration,#REF!,"1.Perf")</f>
        <v>0</v>
      </c>
      <c r="BA87" s="15">
        <f>SUMIFS(#REF!,#REF!,adProjChocS2,#REF!,adProjCdCanton,#REF!,adProjIteration,#REF!,"1.Perf")</f>
        <v>0</v>
      </c>
      <c r="BB87" s="15">
        <f>SUMIFS(#REF!,#REF!,adProjChocS2,#REF!,adProjCdCanton,#REF!,adProjIteration,#REF!,"1.Perf")</f>
        <v>0</v>
      </c>
      <c r="BC87" s="26"/>
    </row>
    <row r="88" spans="1:55" ht="16.5" x14ac:dyDescent="0.3">
      <c r="B88" s="17"/>
      <c r="C88" s="14" t="s">
        <v>74</v>
      </c>
      <c r="D88" s="15">
        <f>SUMIFS(#REF!,#REF!,adProjChocS2,#REF!,adProjCdCanton,#REF!,adProjIteration,#REF!,"1.Perf")</f>
        <v>0</v>
      </c>
      <c r="E88" s="15">
        <f>SUMIFS(#REF!,#REF!,adProjChocS2,#REF!,adProjCdCanton,#REF!,adProjIteration,#REF!,"1.Perf")</f>
        <v>0</v>
      </c>
      <c r="F88" s="15">
        <f>SUMIFS(#REF!,#REF!,adProjChocS2,#REF!,adProjCdCanton,#REF!,adProjIteration,#REF!,"1.Perf")</f>
        <v>0</v>
      </c>
      <c r="G88" s="15">
        <f>SUMIFS(#REF!,#REF!,adProjChocS2,#REF!,adProjCdCanton,#REF!,adProjIteration,#REF!,"1.Perf")</f>
        <v>0</v>
      </c>
      <c r="H88" s="15">
        <f>SUMIFS(#REF!,#REF!,adProjChocS2,#REF!,adProjCdCanton,#REF!,adProjIteration,#REF!,"1.Perf")</f>
        <v>0</v>
      </c>
      <c r="I88" s="15">
        <f>SUMIFS(#REF!,#REF!,adProjChocS2,#REF!,adProjCdCanton,#REF!,adProjIteration,#REF!,"1.Perf")</f>
        <v>0</v>
      </c>
      <c r="J88" s="15">
        <f>SUMIFS(#REF!,#REF!,adProjChocS2,#REF!,adProjCdCanton,#REF!,adProjIteration,#REF!,"1.Perf")</f>
        <v>0</v>
      </c>
      <c r="K88" s="15">
        <f>SUMIFS(#REF!,#REF!,adProjChocS2,#REF!,adProjCdCanton,#REF!,adProjIteration,#REF!,"1.Perf")</f>
        <v>0</v>
      </c>
      <c r="L88" s="15">
        <f>SUMIFS(#REF!,#REF!,adProjChocS2,#REF!,adProjCdCanton,#REF!,adProjIteration,#REF!,"1.Perf")</f>
        <v>0</v>
      </c>
      <c r="M88" s="15">
        <f>SUMIFS(#REF!,#REF!,adProjChocS2,#REF!,adProjCdCanton,#REF!,adProjIteration,#REF!,"1.Perf")</f>
        <v>0</v>
      </c>
      <c r="N88" s="15">
        <f>SUMIFS(#REF!,#REF!,adProjChocS2,#REF!,adProjCdCanton,#REF!,adProjIteration,#REF!,"1.Perf")</f>
        <v>0</v>
      </c>
      <c r="O88" s="15">
        <f>SUMIFS(#REF!,#REF!,adProjChocS2,#REF!,adProjCdCanton,#REF!,adProjIteration,#REF!,"1.Perf")</f>
        <v>0</v>
      </c>
      <c r="P88" s="15">
        <f>SUMIFS(#REF!,#REF!,adProjChocS2,#REF!,adProjCdCanton,#REF!,adProjIteration,#REF!,"1.Perf")</f>
        <v>0</v>
      </c>
      <c r="Q88" s="15">
        <f>SUMIFS(#REF!,#REF!,adProjChocS2,#REF!,adProjCdCanton,#REF!,adProjIteration,#REF!,"1.Perf")</f>
        <v>0</v>
      </c>
      <c r="R88" s="15">
        <f>SUMIFS(#REF!,#REF!,adProjChocS2,#REF!,adProjCdCanton,#REF!,adProjIteration,#REF!,"1.Perf")</f>
        <v>0</v>
      </c>
      <c r="S88" s="15">
        <f>SUMIFS(#REF!,#REF!,adProjChocS2,#REF!,adProjCdCanton,#REF!,adProjIteration,#REF!,"1.Perf")</f>
        <v>0</v>
      </c>
      <c r="T88" s="15">
        <f>SUMIFS(#REF!,#REF!,adProjChocS2,#REF!,adProjCdCanton,#REF!,adProjIteration,#REF!,"1.Perf")</f>
        <v>0</v>
      </c>
      <c r="U88" s="15">
        <f>SUMIFS(#REF!,#REF!,adProjChocS2,#REF!,adProjCdCanton,#REF!,adProjIteration,#REF!,"1.Perf")</f>
        <v>0</v>
      </c>
      <c r="V88" s="15">
        <f>SUMIFS(#REF!,#REF!,adProjChocS2,#REF!,adProjCdCanton,#REF!,adProjIteration,#REF!,"1.Perf")</f>
        <v>0</v>
      </c>
      <c r="W88" s="15">
        <f>SUMIFS(#REF!,#REF!,adProjChocS2,#REF!,adProjCdCanton,#REF!,adProjIteration,#REF!,"1.Perf")</f>
        <v>0</v>
      </c>
      <c r="X88" s="15">
        <f>SUMIFS(#REF!,#REF!,adProjChocS2,#REF!,adProjCdCanton,#REF!,adProjIteration,#REF!,"1.Perf")</f>
        <v>0</v>
      </c>
      <c r="Y88" s="15">
        <f>SUMIFS(#REF!,#REF!,adProjChocS2,#REF!,adProjCdCanton,#REF!,adProjIteration,#REF!,"1.Perf")</f>
        <v>0</v>
      </c>
      <c r="Z88" s="15">
        <f>SUMIFS(#REF!,#REF!,adProjChocS2,#REF!,adProjCdCanton,#REF!,adProjIteration,#REF!,"1.Perf")</f>
        <v>0</v>
      </c>
      <c r="AA88" s="15">
        <f>SUMIFS(#REF!,#REF!,adProjChocS2,#REF!,adProjCdCanton,#REF!,adProjIteration,#REF!,"1.Perf")</f>
        <v>0</v>
      </c>
      <c r="AB88" s="15">
        <f>SUMIFS(#REF!,#REF!,adProjChocS2,#REF!,adProjCdCanton,#REF!,adProjIteration,#REF!,"1.Perf")</f>
        <v>0</v>
      </c>
      <c r="AC88" s="15">
        <f>SUMIFS(#REF!,#REF!,adProjChocS2,#REF!,adProjCdCanton,#REF!,adProjIteration,#REF!,"1.Perf")</f>
        <v>0</v>
      </c>
      <c r="AD88" s="15">
        <f>SUMIFS(#REF!,#REF!,adProjChocS2,#REF!,adProjCdCanton,#REF!,adProjIteration,#REF!,"1.Perf")</f>
        <v>0</v>
      </c>
      <c r="AE88" s="15">
        <f>SUMIFS(#REF!,#REF!,adProjChocS2,#REF!,adProjCdCanton,#REF!,adProjIteration,#REF!,"1.Perf")</f>
        <v>0</v>
      </c>
      <c r="AF88" s="15">
        <f>SUMIFS(#REF!,#REF!,adProjChocS2,#REF!,adProjCdCanton,#REF!,adProjIteration,#REF!,"1.Perf")</f>
        <v>0</v>
      </c>
      <c r="AG88" s="15">
        <f>SUMIFS(#REF!,#REF!,adProjChocS2,#REF!,adProjCdCanton,#REF!,adProjIteration,#REF!,"1.Perf")</f>
        <v>0</v>
      </c>
      <c r="AH88" s="15">
        <f>SUMIFS(#REF!,#REF!,adProjChocS2,#REF!,adProjCdCanton,#REF!,adProjIteration,#REF!,"1.Perf")</f>
        <v>0</v>
      </c>
      <c r="AI88" s="15">
        <f>SUMIFS(#REF!,#REF!,adProjChocS2,#REF!,adProjCdCanton,#REF!,adProjIteration,#REF!,"1.Perf")</f>
        <v>0</v>
      </c>
      <c r="AJ88" s="15">
        <f>SUMIFS(#REF!,#REF!,adProjChocS2,#REF!,adProjCdCanton,#REF!,adProjIteration,#REF!,"1.Perf")</f>
        <v>0</v>
      </c>
      <c r="AK88" s="15">
        <f>SUMIFS(#REF!,#REF!,adProjChocS2,#REF!,adProjCdCanton,#REF!,adProjIteration,#REF!,"1.Perf")</f>
        <v>0</v>
      </c>
      <c r="AL88" s="15">
        <f>SUMIFS(#REF!,#REF!,adProjChocS2,#REF!,adProjCdCanton,#REF!,adProjIteration,#REF!,"1.Perf")</f>
        <v>0</v>
      </c>
      <c r="AM88" s="15">
        <f>SUMIFS(#REF!,#REF!,adProjChocS2,#REF!,adProjCdCanton,#REF!,adProjIteration,#REF!,"1.Perf")</f>
        <v>0</v>
      </c>
      <c r="AN88" s="15">
        <f>SUMIFS(#REF!,#REF!,adProjChocS2,#REF!,adProjCdCanton,#REF!,adProjIteration,#REF!,"1.Perf")</f>
        <v>0</v>
      </c>
      <c r="AO88" s="15">
        <f>SUMIFS(#REF!,#REF!,adProjChocS2,#REF!,adProjCdCanton,#REF!,adProjIteration,#REF!,"1.Perf")</f>
        <v>0</v>
      </c>
      <c r="AP88" s="15">
        <f>SUMIFS(#REF!,#REF!,adProjChocS2,#REF!,adProjCdCanton,#REF!,adProjIteration,#REF!,"1.Perf")</f>
        <v>0</v>
      </c>
      <c r="AQ88" s="15">
        <f>SUMIFS(#REF!,#REF!,adProjChocS2,#REF!,adProjCdCanton,#REF!,adProjIteration,#REF!,"1.Perf")</f>
        <v>0</v>
      </c>
      <c r="AR88" s="15">
        <f>SUMIFS(#REF!,#REF!,adProjChocS2,#REF!,adProjCdCanton,#REF!,adProjIteration,#REF!,"1.Perf")</f>
        <v>0</v>
      </c>
      <c r="AS88" s="15">
        <f>SUMIFS(#REF!,#REF!,adProjChocS2,#REF!,adProjCdCanton,#REF!,adProjIteration,#REF!,"1.Perf")</f>
        <v>0</v>
      </c>
      <c r="AT88" s="15">
        <f>SUMIFS(#REF!,#REF!,adProjChocS2,#REF!,adProjCdCanton,#REF!,adProjIteration,#REF!,"1.Perf")</f>
        <v>0</v>
      </c>
      <c r="AU88" s="15">
        <f>SUMIFS(#REF!,#REF!,adProjChocS2,#REF!,adProjCdCanton,#REF!,adProjIteration,#REF!,"1.Perf")</f>
        <v>0</v>
      </c>
      <c r="AV88" s="15">
        <f>SUMIFS(#REF!,#REF!,adProjChocS2,#REF!,adProjCdCanton,#REF!,adProjIteration,#REF!,"1.Perf")</f>
        <v>0</v>
      </c>
      <c r="AW88" s="15">
        <f>SUMIFS(#REF!,#REF!,adProjChocS2,#REF!,adProjCdCanton,#REF!,adProjIteration,#REF!,"1.Perf")</f>
        <v>0</v>
      </c>
      <c r="AX88" s="15">
        <f>SUMIFS(#REF!,#REF!,adProjChocS2,#REF!,adProjCdCanton,#REF!,adProjIteration,#REF!,"1.Perf")</f>
        <v>0</v>
      </c>
      <c r="AY88" s="15">
        <f>SUMIFS(#REF!,#REF!,adProjChocS2,#REF!,adProjCdCanton,#REF!,adProjIteration,#REF!,"1.Perf")</f>
        <v>0</v>
      </c>
      <c r="AZ88" s="15">
        <f>SUMIFS(#REF!,#REF!,adProjChocS2,#REF!,adProjCdCanton,#REF!,adProjIteration,#REF!,"1.Perf")</f>
        <v>0</v>
      </c>
      <c r="BA88" s="15">
        <f>SUMIFS(#REF!,#REF!,adProjChocS2,#REF!,adProjCdCanton,#REF!,adProjIteration,#REF!,"1.Perf")</f>
        <v>0</v>
      </c>
      <c r="BB88" s="15">
        <f>SUMIFS(#REF!,#REF!,adProjChocS2,#REF!,adProjCdCanton,#REF!,adProjIteration,#REF!,"1.Perf")</f>
        <v>0</v>
      </c>
      <c r="BC88" s="26"/>
    </row>
    <row r="89" spans="1:55" ht="16.5" x14ac:dyDescent="0.3">
      <c r="B89" s="17"/>
      <c r="C89" s="14" t="s">
        <v>45</v>
      </c>
      <c r="D89" s="21"/>
      <c r="E89" s="21" cm="1">
        <f t="array" ref="E89">adVmPerfOblig-adVcPerfOblig</f>
        <v>0</v>
      </c>
      <c r="F89" s="21" cm="1">
        <f t="array" ref="F89">adVmPerfOblig-adVcPerfOblig</f>
        <v>0</v>
      </c>
      <c r="G89" s="21" cm="1">
        <f t="array" ref="G89">adVmPerfOblig-adVcPerfOblig</f>
        <v>0</v>
      </c>
      <c r="H89" s="21" cm="1">
        <f t="array" ref="H89">adVmPerfOblig-adVcPerfOblig</f>
        <v>0</v>
      </c>
      <c r="I89" s="21" cm="1">
        <f t="array" ref="I89">adVmPerfOblig-adVcPerfOblig</f>
        <v>0</v>
      </c>
      <c r="J89" s="21" cm="1">
        <f t="array" ref="J89">adVmPerfOblig-adVcPerfOblig</f>
        <v>0</v>
      </c>
      <c r="K89" s="21" cm="1">
        <f t="array" ref="K89">adVmPerfOblig-adVcPerfOblig</f>
        <v>0</v>
      </c>
      <c r="L89" s="21" cm="1">
        <f t="array" ref="L89">adVmPerfOblig-adVcPerfOblig</f>
        <v>0</v>
      </c>
      <c r="M89" s="21" cm="1">
        <f t="array" ref="M89">adVmPerfOblig-adVcPerfOblig</f>
        <v>0</v>
      </c>
      <c r="N89" s="21" cm="1">
        <f t="array" ref="N89">adVmPerfOblig-adVcPerfOblig</f>
        <v>0</v>
      </c>
      <c r="O89" s="21" cm="1">
        <f t="array" ref="O89">adVmPerfOblig-adVcPerfOblig</f>
        <v>0</v>
      </c>
      <c r="P89" s="21" cm="1">
        <f t="array" ref="P89">adVmPerfOblig-adVcPerfOblig</f>
        <v>0</v>
      </c>
      <c r="Q89" s="21" cm="1">
        <f t="array" ref="Q89">adVmPerfOblig-adVcPerfOblig</f>
        <v>0</v>
      </c>
      <c r="R89" s="21" cm="1">
        <f t="array" ref="R89">adVmPerfOblig-adVcPerfOblig</f>
        <v>0</v>
      </c>
      <c r="S89" s="21" cm="1">
        <f t="array" ref="S89">adVmPerfOblig-adVcPerfOblig</f>
        <v>0</v>
      </c>
      <c r="T89" s="21" cm="1">
        <f t="array" ref="T89">adVmPerfOblig-adVcPerfOblig</f>
        <v>0</v>
      </c>
      <c r="U89" s="21" cm="1">
        <f t="array" ref="U89">adVmPerfOblig-adVcPerfOblig</f>
        <v>0</v>
      </c>
      <c r="V89" s="21" cm="1">
        <f t="array" ref="V89">adVmPerfOblig-adVcPerfOblig</f>
        <v>0</v>
      </c>
      <c r="W89" s="21" cm="1">
        <f t="array" ref="W89">adVmPerfOblig-adVcPerfOblig</f>
        <v>0</v>
      </c>
      <c r="X89" s="21" cm="1">
        <f t="array" ref="X89">adVmPerfOblig-adVcPerfOblig</f>
        <v>0</v>
      </c>
      <c r="Y89" s="21" cm="1">
        <f t="array" ref="Y89">adVmPerfOblig-adVcPerfOblig</f>
        <v>0</v>
      </c>
      <c r="Z89" s="21" cm="1">
        <f t="array" ref="Z89">adVmPerfOblig-adVcPerfOblig</f>
        <v>0</v>
      </c>
      <c r="AA89" s="21" cm="1">
        <f t="array" ref="AA89">adVmPerfOblig-adVcPerfOblig</f>
        <v>0</v>
      </c>
      <c r="AB89" s="21" cm="1">
        <f t="array" ref="AB89">adVmPerfOblig-adVcPerfOblig</f>
        <v>0</v>
      </c>
      <c r="AC89" s="21" cm="1">
        <f t="array" ref="AC89">adVmPerfOblig-adVcPerfOblig</f>
        <v>0</v>
      </c>
      <c r="AD89" s="21" cm="1">
        <f t="array" ref="AD89">adVmPerfOblig-adVcPerfOblig</f>
        <v>0</v>
      </c>
      <c r="AE89" s="21" cm="1">
        <f t="array" ref="AE89">adVmPerfOblig-adVcPerfOblig</f>
        <v>0</v>
      </c>
      <c r="AF89" s="21" cm="1">
        <f t="array" ref="AF89">adVmPerfOblig-adVcPerfOblig</f>
        <v>0</v>
      </c>
      <c r="AG89" s="21" cm="1">
        <f t="array" ref="AG89">adVmPerfOblig-adVcPerfOblig</f>
        <v>0</v>
      </c>
      <c r="AH89" s="21" cm="1">
        <f t="array" ref="AH89">adVmPerfOblig-adVcPerfOblig</f>
        <v>0</v>
      </c>
      <c r="AI89" s="21" cm="1">
        <f t="array" ref="AI89">adVmPerfOblig-adVcPerfOblig</f>
        <v>0</v>
      </c>
      <c r="AJ89" s="21" cm="1">
        <f t="array" ref="AJ89">adVmPerfOblig-adVcPerfOblig</f>
        <v>0</v>
      </c>
      <c r="AK89" s="21" cm="1">
        <f t="array" ref="AK89">adVmPerfOblig-adVcPerfOblig</f>
        <v>0</v>
      </c>
      <c r="AL89" s="21" cm="1">
        <f t="array" ref="AL89">adVmPerfOblig-adVcPerfOblig</f>
        <v>0</v>
      </c>
      <c r="AM89" s="21" cm="1">
        <f t="array" ref="AM89">adVmPerfOblig-adVcPerfOblig</f>
        <v>0</v>
      </c>
      <c r="AN89" s="21" cm="1">
        <f t="array" ref="AN89">adVmPerfOblig-adVcPerfOblig</f>
        <v>0</v>
      </c>
      <c r="AO89" s="21" cm="1">
        <f t="array" ref="AO89">adVmPerfOblig-adVcPerfOblig</f>
        <v>0</v>
      </c>
      <c r="AP89" s="21" cm="1">
        <f t="array" ref="AP89">adVmPerfOblig-adVcPerfOblig</f>
        <v>0</v>
      </c>
      <c r="AQ89" s="21" cm="1">
        <f t="array" ref="AQ89">adVmPerfOblig-adVcPerfOblig</f>
        <v>0</v>
      </c>
      <c r="AR89" s="21" cm="1">
        <f t="array" ref="AR89">adVmPerfOblig-adVcPerfOblig</f>
        <v>0</v>
      </c>
      <c r="AS89" s="21" cm="1">
        <f t="array" ref="AS89">adVmPerfOblig-adVcPerfOblig</f>
        <v>0</v>
      </c>
      <c r="AT89" s="21" cm="1">
        <f t="array" ref="AT89">adVmPerfOblig-adVcPerfOblig</f>
        <v>0</v>
      </c>
      <c r="AU89" s="21" cm="1">
        <f t="array" ref="AU89">adVmPerfOblig-adVcPerfOblig</f>
        <v>0</v>
      </c>
      <c r="AV89" s="21" cm="1">
        <f t="array" ref="AV89">adVmPerfOblig-adVcPerfOblig</f>
        <v>0</v>
      </c>
      <c r="AW89" s="21" cm="1">
        <f t="array" ref="AW89">adVmPerfOblig-adVcPerfOblig</f>
        <v>0</v>
      </c>
      <c r="AX89" s="21" cm="1">
        <f t="array" ref="AX89">adVmPerfOblig-adVcPerfOblig</f>
        <v>0</v>
      </c>
      <c r="AY89" s="21" cm="1">
        <f t="array" ref="AY89">adVmPerfOblig-adVcPerfOblig</f>
        <v>0</v>
      </c>
      <c r="AZ89" s="21" cm="1">
        <f t="array" ref="AZ89">adVmPerfOblig-adVcPerfOblig</f>
        <v>0</v>
      </c>
      <c r="BA89" s="21" cm="1">
        <f t="array" ref="BA89">adVmPerfOblig-adVcPerfOblig</f>
        <v>0</v>
      </c>
      <c r="BB89" s="21" cm="1">
        <f t="array" ref="BB89">adVmPerfOblig-adVcPerfOblig</f>
        <v>0</v>
      </c>
    </row>
    <row r="90" spans="1:55" ht="16.5" x14ac:dyDescent="0.3">
      <c r="B90" s="17"/>
      <c r="C90" s="14" t="s">
        <v>75</v>
      </c>
      <c r="D90" s="15">
        <f>SUMIFS(#REF!,#REF!,adProjChocS2,#REF!,adProjCdCanton,#REF!,adProjIteration,#REF!,"2.StratInv")</f>
        <v>0</v>
      </c>
      <c r="E90" s="15">
        <f>SUMIFS(#REF!,#REF!,adProjChocS2,#REF!,adProjCdCanton,#REF!,adProjIteration,#REF!,"2.StratInv")</f>
        <v>0</v>
      </c>
      <c r="F90" s="15">
        <f>SUMIFS(#REF!,#REF!,adProjChocS2,#REF!,adProjCdCanton,#REF!,adProjIteration,#REF!,"2.StratInv")</f>
        <v>0</v>
      </c>
      <c r="G90" s="15">
        <f>SUMIFS(#REF!,#REF!,adProjChocS2,#REF!,adProjCdCanton,#REF!,adProjIteration,#REF!,"2.StratInv")</f>
        <v>0</v>
      </c>
      <c r="H90" s="15">
        <f>SUMIFS(#REF!,#REF!,adProjChocS2,#REF!,adProjCdCanton,#REF!,adProjIteration,#REF!,"2.StratInv")</f>
        <v>0</v>
      </c>
      <c r="I90" s="15">
        <f>SUMIFS(#REF!,#REF!,adProjChocS2,#REF!,adProjCdCanton,#REF!,adProjIteration,#REF!,"2.StratInv")</f>
        <v>0</v>
      </c>
      <c r="J90" s="15">
        <f>SUMIFS(#REF!,#REF!,adProjChocS2,#REF!,adProjCdCanton,#REF!,adProjIteration,#REF!,"2.StratInv")</f>
        <v>0</v>
      </c>
      <c r="K90" s="15">
        <f>SUMIFS(#REF!,#REF!,adProjChocS2,#REF!,adProjCdCanton,#REF!,adProjIteration,#REF!,"2.StratInv")</f>
        <v>0</v>
      </c>
      <c r="L90" s="15">
        <f>SUMIFS(#REF!,#REF!,adProjChocS2,#REF!,adProjCdCanton,#REF!,adProjIteration,#REF!,"2.StratInv")</f>
        <v>0</v>
      </c>
      <c r="M90" s="15">
        <f>SUMIFS(#REF!,#REF!,adProjChocS2,#REF!,adProjCdCanton,#REF!,adProjIteration,#REF!,"2.StratInv")</f>
        <v>0</v>
      </c>
      <c r="N90" s="15">
        <f>SUMIFS(#REF!,#REF!,adProjChocS2,#REF!,adProjCdCanton,#REF!,adProjIteration,#REF!,"2.StratInv")</f>
        <v>0</v>
      </c>
      <c r="O90" s="15">
        <f>SUMIFS(#REF!,#REF!,adProjChocS2,#REF!,adProjCdCanton,#REF!,adProjIteration,#REF!,"2.StratInv")</f>
        <v>0</v>
      </c>
      <c r="P90" s="15">
        <f>SUMIFS(#REF!,#REF!,adProjChocS2,#REF!,adProjCdCanton,#REF!,adProjIteration,#REF!,"2.StratInv")</f>
        <v>0</v>
      </c>
      <c r="Q90" s="15">
        <f>SUMIFS(#REF!,#REF!,adProjChocS2,#REF!,adProjCdCanton,#REF!,adProjIteration,#REF!,"2.StratInv")</f>
        <v>0</v>
      </c>
      <c r="R90" s="15">
        <f>SUMIFS(#REF!,#REF!,adProjChocS2,#REF!,adProjCdCanton,#REF!,adProjIteration,#REF!,"2.StratInv")</f>
        <v>0</v>
      </c>
      <c r="S90" s="15">
        <f>SUMIFS(#REF!,#REF!,adProjChocS2,#REF!,adProjCdCanton,#REF!,adProjIteration,#REF!,"2.StratInv")</f>
        <v>0</v>
      </c>
      <c r="T90" s="15">
        <f>SUMIFS(#REF!,#REF!,adProjChocS2,#REF!,adProjCdCanton,#REF!,adProjIteration,#REF!,"2.StratInv")</f>
        <v>0</v>
      </c>
      <c r="U90" s="15">
        <f>SUMIFS(#REF!,#REF!,adProjChocS2,#REF!,adProjCdCanton,#REF!,adProjIteration,#REF!,"2.StratInv")</f>
        <v>0</v>
      </c>
      <c r="V90" s="15">
        <f>SUMIFS(#REF!,#REF!,adProjChocS2,#REF!,adProjCdCanton,#REF!,adProjIteration,#REF!,"2.StratInv")</f>
        <v>0</v>
      </c>
      <c r="W90" s="15">
        <f>SUMIFS(#REF!,#REF!,adProjChocS2,#REF!,adProjCdCanton,#REF!,adProjIteration,#REF!,"2.StratInv")</f>
        <v>0</v>
      </c>
      <c r="X90" s="15">
        <f>SUMIFS(#REF!,#REF!,adProjChocS2,#REF!,adProjCdCanton,#REF!,adProjIteration,#REF!,"2.StratInv")</f>
        <v>0</v>
      </c>
      <c r="Y90" s="15">
        <f>SUMIFS(#REF!,#REF!,adProjChocS2,#REF!,adProjCdCanton,#REF!,adProjIteration,#REF!,"2.StratInv")</f>
        <v>0</v>
      </c>
      <c r="Z90" s="15">
        <f>SUMIFS(#REF!,#REF!,adProjChocS2,#REF!,adProjCdCanton,#REF!,adProjIteration,#REF!,"2.StratInv")</f>
        <v>0</v>
      </c>
      <c r="AA90" s="15">
        <f>SUMIFS(#REF!,#REF!,adProjChocS2,#REF!,adProjCdCanton,#REF!,adProjIteration,#REF!,"2.StratInv")</f>
        <v>0</v>
      </c>
      <c r="AB90" s="15">
        <f>SUMIFS(#REF!,#REF!,adProjChocS2,#REF!,adProjCdCanton,#REF!,adProjIteration,#REF!,"2.StratInv")</f>
        <v>0</v>
      </c>
      <c r="AC90" s="15">
        <f>SUMIFS(#REF!,#REF!,adProjChocS2,#REF!,adProjCdCanton,#REF!,adProjIteration,#REF!,"2.StratInv")</f>
        <v>0</v>
      </c>
      <c r="AD90" s="15">
        <f>SUMIFS(#REF!,#REF!,adProjChocS2,#REF!,adProjCdCanton,#REF!,adProjIteration,#REF!,"2.StratInv")</f>
        <v>0</v>
      </c>
      <c r="AE90" s="15">
        <f>SUMIFS(#REF!,#REF!,adProjChocS2,#REF!,adProjCdCanton,#REF!,adProjIteration,#REF!,"2.StratInv")</f>
        <v>0</v>
      </c>
      <c r="AF90" s="15">
        <f>SUMIFS(#REF!,#REF!,adProjChocS2,#REF!,adProjCdCanton,#REF!,adProjIteration,#REF!,"2.StratInv")</f>
        <v>0</v>
      </c>
      <c r="AG90" s="15">
        <f>SUMIFS(#REF!,#REF!,adProjChocS2,#REF!,adProjCdCanton,#REF!,adProjIteration,#REF!,"2.StratInv")</f>
        <v>0</v>
      </c>
      <c r="AH90" s="15">
        <f>SUMIFS(#REF!,#REF!,adProjChocS2,#REF!,adProjCdCanton,#REF!,adProjIteration,#REF!,"2.StratInv")</f>
        <v>0</v>
      </c>
      <c r="AI90" s="15">
        <f>SUMIFS(#REF!,#REF!,adProjChocS2,#REF!,adProjCdCanton,#REF!,adProjIteration,#REF!,"2.StratInv")</f>
        <v>0</v>
      </c>
      <c r="AJ90" s="15">
        <f>SUMIFS(#REF!,#REF!,adProjChocS2,#REF!,adProjCdCanton,#REF!,adProjIteration,#REF!,"2.StratInv")</f>
        <v>0</v>
      </c>
      <c r="AK90" s="15">
        <f>SUMIFS(#REF!,#REF!,adProjChocS2,#REF!,adProjCdCanton,#REF!,adProjIteration,#REF!,"2.StratInv")</f>
        <v>0</v>
      </c>
      <c r="AL90" s="15">
        <f>SUMIFS(#REF!,#REF!,adProjChocS2,#REF!,adProjCdCanton,#REF!,adProjIteration,#REF!,"2.StratInv")</f>
        <v>0</v>
      </c>
      <c r="AM90" s="15">
        <f>SUMIFS(#REF!,#REF!,adProjChocS2,#REF!,adProjCdCanton,#REF!,adProjIteration,#REF!,"2.StratInv")</f>
        <v>0</v>
      </c>
      <c r="AN90" s="15">
        <f>SUMIFS(#REF!,#REF!,adProjChocS2,#REF!,adProjCdCanton,#REF!,adProjIteration,#REF!,"2.StratInv")</f>
        <v>0</v>
      </c>
      <c r="AO90" s="15">
        <f>SUMIFS(#REF!,#REF!,adProjChocS2,#REF!,adProjCdCanton,#REF!,adProjIteration,#REF!,"2.StratInv")</f>
        <v>0</v>
      </c>
      <c r="AP90" s="15">
        <f>SUMIFS(#REF!,#REF!,adProjChocS2,#REF!,adProjCdCanton,#REF!,adProjIteration,#REF!,"2.StratInv")</f>
        <v>0</v>
      </c>
      <c r="AQ90" s="15">
        <f>SUMIFS(#REF!,#REF!,adProjChocS2,#REF!,adProjCdCanton,#REF!,adProjIteration,#REF!,"2.StratInv")</f>
        <v>0</v>
      </c>
      <c r="AR90" s="15">
        <f>SUMIFS(#REF!,#REF!,adProjChocS2,#REF!,adProjCdCanton,#REF!,adProjIteration,#REF!,"2.StratInv")</f>
        <v>0</v>
      </c>
      <c r="AS90" s="15">
        <f>SUMIFS(#REF!,#REF!,adProjChocS2,#REF!,adProjCdCanton,#REF!,adProjIteration,#REF!,"2.StratInv")</f>
        <v>0</v>
      </c>
      <c r="AT90" s="15">
        <f>SUMIFS(#REF!,#REF!,adProjChocS2,#REF!,adProjCdCanton,#REF!,adProjIteration,#REF!,"2.StratInv")</f>
        <v>0</v>
      </c>
      <c r="AU90" s="15">
        <f>SUMIFS(#REF!,#REF!,adProjChocS2,#REF!,adProjCdCanton,#REF!,adProjIteration,#REF!,"2.StratInv")</f>
        <v>0</v>
      </c>
      <c r="AV90" s="15">
        <f>SUMIFS(#REF!,#REF!,adProjChocS2,#REF!,adProjCdCanton,#REF!,adProjIteration,#REF!,"2.StratInv")</f>
        <v>0</v>
      </c>
      <c r="AW90" s="15">
        <f>SUMIFS(#REF!,#REF!,adProjChocS2,#REF!,adProjCdCanton,#REF!,adProjIteration,#REF!,"2.StratInv")</f>
        <v>0</v>
      </c>
      <c r="AX90" s="15">
        <f>SUMIFS(#REF!,#REF!,adProjChocS2,#REF!,adProjCdCanton,#REF!,adProjIteration,#REF!,"2.StratInv")</f>
        <v>0</v>
      </c>
      <c r="AY90" s="15">
        <f>SUMIFS(#REF!,#REF!,adProjChocS2,#REF!,adProjCdCanton,#REF!,adProjIteration,#REF!,"2.StratInv")</f>
        <v>0</v>
      </c>
      <c r="AZ90" s="15">
        <f>SUMIFS(#REF!,#REF!,adProjChocS2,#REF!,adProjCdCanton,#REF!,adProjIteration,#REF!,"2.StratInv")</f>
        <v>0</v>
      </c>
      <c r="BA90" s="15">
        <f>SUMIFS(#REF!,#REF!,adProjChocS2,#REF!,adProjCdCanton,#REF!,adProjIteration,#REF!,"2.StratInv")</f>
        <v>0</v>
      </c>
      <c r="BB90" s="15">
        <f>SUMIFS(#REF!,#REF!,adProjChocS2,#REF!,adProjCdCanton,#REF!,adProjIteration,#REF!,"2.StratInv")</f>
        <v>0</v>
      </c>
      <c r="BC90" s="26"/>
    </row>
    <row r="91" spans="1:55" ht="16.5" x14ac:dyDescent="0.3">
      <c r="B91" s="17"/>
      <c r="C91" s="14" t="s">
        <v>76</v>
      </c>
      <c r="D91" s="15">
        <f>SUMIFS(#REF!,#REF!,adProjChocS2,#REF!,adProjCdCanton,#REF!,adProjIteration,#REF!,"0.Init")+SUMIFS(#REF!,#REF!,adProjChocS2,#REF!,adProjCdCanton,#REF!,adProjIteration,#REF!,"3.AlmCr")</f>
        <v>0</v>
      </c>
      <c r="E91" s="15">
        <f>SUMIFS(#REF!,#REF!,adProjChocS2,#REF!,adProjCdCanton,#REF!,adProjIteration,#REF!,"0.Init")+SUMIFS(#REF!,#REF!,adProjChocS2,#REF!,adProjCdCanton,#REF!,adProjIteration,#REF!,"3.AlmCr")</f>
        <v>0</v>
      </c>
      <c r="F91" s="15">
        <f>SUMIFS(#REF!,#REF!,adProjChocS2,#REF!,adProjCdCanton,#REF!,adProjIteration,#REF!,"0.Init")+SUMIFS(#REF!,#REF!,adProjChocS2,#REF!,adProjCdCanton,#REF!,adProjIteration,#REF!,"3.AlmCr")</f>
        <v>0</v>
      </c>
      <c r="G91" s="15">
        <f>SUMIFS(#REF!,#REF!,adProjChocS2,#REF!,adProjCdCanton,#REF!,adProjIteration,#REF!,"0.Init")+SUMIFS(#REF!,#REF!,adProjChocS2,#REF!,adProjCdCanton,#REF!,adProjIteration,#REF!,"3.AlmCr")</f>
        <v>0</v>
      </c>
      <c r="H91" s="15">
        <f>SUMIFS(#REF!,#REF!,adProjChocS2,#REF!,adProjCdCanton,#REF!,adProjIteration,#REF!,"0.Init")+SUMIFS(#REF!,#REF!,adProjChocS2,#REF!,adProjCdCanton,#REF!,adProjIteration,#REF!,"3.AlmCr")</f>
        <v>0</v>
      </c>
      <c r="I91" s="15">
        <f>SUMIFS(#REF!,#REF!,adProjChocS2,#REF!,adProjCdCanton,#REF!,adProjIteration,#REF!,"0.Init")+SUMIFS(#REF!,#REF!,adProjChocS2,#REF!,adProjCdCanton,#REF!,adProjIteration,#REF!,"3.AlmCr")</f>
        <v>0</v>
      </c>
      <c r="J91" s="15">
        <f>SUMIFS(#REF!,#REF!,adProjChocS2,#REF!,adProjCdCanton,#REF!,adProjIteration,#REF!,"0.Init")+SUMIFS(#REF!,#REF!,adProjChocS2,#REF!,adProjCdCanton,#REF!,adProjIteration,#REF!,"3.AlmCr")</f>
        <v>0</v>
      </c>
      <c r="K91" s="15">
        <f>SUMIFS(#REF!,#REF!,adProjChocS2,#REF!,adProjCdCanton,#REF!,adProjIteration,#REF!,"0.Init")+SUMIFS(#REF!,#REF!,adProjChocS2,#REF!,adProjCdCanton,#REF!,adProjIteration,#REF!,"3.AlmCr")</f>
        <v>0</v>
      </c>
      <c r="L91" s="15">
        <f>SUMIFS(#REF!,#REF!,adProjChocS2,#REF!,adProjCdCanton,#REF!,adProjIteration,#REF!,"0.Init")+SUMIFS(#REF!,#REF!,adProjChocS2,#REF!,adProjCdCanton,#REF!,adProjIteration,#REF!,"3.AlmCr")</f>
        <v>0</v>
      </c>
      <c r="M91" s="15">
        <f>SUMIFS(#REF!,#REF!,adProjChocS2,#REF!,adProjCdCanton,#REF!,adProjIteration,#REF!,"0.Init")+SUMIFS(#REF!,#REF!,adProjChocS2,#REF!,adProjCdCanton,#REF!,adProjIteration,#REF!,"3.AlmCr")</f>
        <v>0</v>
      </c>
      <c r="N91" s="15">
        <f>SUMIFS(#REF!,#REF!,adProjChocS2,#REF!,adProjCdCanton,#REF!,adProjIteration,#REF!,"0.Init")+SUMIFS(#REF!,#REF!,adProjChocS2,#REF!,adProjCdCanton,#REF!,adProjIteration,#REF!,"3.AlmCr")</f>
        <v>0</v>
      </c>
      <c r="O91" s="15">
        <f>SUMIFS(#REF!,#REF!,adProjChocS2,#REF!,adProjCdCanton,#REF!,adProjIteration,#REF!,"0.Init")+SUMIFS(#REF!,#REF!,adProjChocS2,#REF!,adProjCdCanton,#REF!,adProjIteration,#REF!,"3.AlmCr")</f>
        <v>0</v>
      </c>
      <c r="P91" s="15">
        <f>SUMIFS(#REF!,#REF!,adProjChocS2,#REF!,adProjCdCanton,#REF!,adProjIteration,#REF!,"0.Init")+SUMIFS(#REF!,#REF!,adProjChocS2,#REF!,adProjCdCanton,#REF!,adProjIteration,#REF!,"3.AlmCr")</f>
        <v>0</v>
      </c>
      <c r="Q91" s="15">
        <f>SUMIFS(#REF!,#REF!,adProjChocS2,#REF!,adProjCdCanton,#REF!,adProjIteration,#REF!,"0.Init")+SUMIFS(#REF!,#REF!,adProjChocS2,#REF!,adProjCdCanton,#REF!,adProjIteration,#REF!,"3.AlmCr")</f>
        <v>0</v>
      </c>
      <c r="R91" s="15">
        <f>SUMIFS(#REF!,#REF!,adProjChocS2,#REF!,adProjCdCanton,#REF!,adProjIteration,#REF!,"0.Init")+SUMIFS(#REF!,#REF!,adProjChocS2,#REF!,adProjCdCanton,#REF!,adProjIteration,#REF!,"3.AlmCr")</f>
        <v>0</v>
      </c>
      <c r="S91" s="15">
        <f>SUMIFS(#REF!,#REF!,adProjChocS2,#REF!,adProjCdCanton,#REF!,adProjIteration,#REF!,"0.Init")+SUMIFS(#REF!,#REF!,adProjChocS2,#REF!,adProjCdCanton,#REF!,adProjIteration,#REF!,"3.AlmCr")</f>
        <v>0</v>
      </c>
      <c r="T91" s="15">
        <f>SUMIFS(#REF!,#REF!,adProjChocS2,#REF!,adProjCdCanton,#REF!,adProjIteration,#REF!,"0.Init")+SUMIFS(#REF!,#REF!,adProjChocS2,#REF!,adProjCdCanton,#REF!,adProjIteration,#REF!,"3.AlmCr")</f>
        <v>0</v>
      </c>
      <c r="U91" s="15">
        <f>SUMIFS(#REF!,#REF!,adProjChocS2,#REF!,adProjCdCanton,#REF!,adProjIteration,#REF!,"0.Init")+SUMIFS(#REF!,#REF!,adProjChocS2,#REF!,adProjCdCanton,#REF!,adProjIteration,#REF!,"3.AlmCr")</f>
        <v>0</v>
      </c>
      <c r="V91" s="15">
        <f>SUMIFS(#REF!,#REF!,adProjChocS2,#REF!,adProjCdCanton,#REF!,adProjIteration,#REF!,"0.Init")+SUMIFS(#REF!,#REF!,adProjChocS2,#REF!,adProjCdCanton,#REF!,adProjIteration,#REF!,"3.AlmCr")</f>
        <v>0</v>
      </c>
      <c r="W91" s="15">
        <f>SUMIFS(#REF!,#REF!,adProjChocS2,#REF!,adProjCdCanton,#REF!,adProjIteration,#REF!,"0.Init")+SUMIFS(#REF!,#REF!,adProjChocS2,#REF!,adProjCdCanton,#REF!,adProjIteration,#REF!,"3.AlmCr")</f>
        <v>0</v>
      </c>
      <c r="X91" s="15">
        <f>SUMIFS(#REF!,#REF!,adProjChocS2,#REF!,adProjCdCanton,#REF!,adProjIteration,#REF!,"0.Init")+SUMIFS(#REF!,#REF!,adProjChocS2,#REF!,adProjCdCanton,#REF!,adProjIteration,#REF!,"3.AlmCr")</f>
        <v>0</v>
      </c>
      <c r="Y91" s="15">
        <f>SUMIFS(#REF!,#REF!,adProjChocS2,#REF!,adProjCdCanton,#REF!,adProjIteration,#REF!,"0.Init")+SUMIFS(#REF!,#REF!,adProjChocS2,#REF!,adProjCdCanton,#REF!,adProjIteration,#REF!,"3.AlmCr")</f>
        <v>0</v>
      </c>
      <c r="Z91" s="15">
        <f>SUMIFS(#REF!,#REF!,adProjChocS2,#REF!,adProjCdCanton,#REF!,adProjIteration,#REF!,"0.Init")+SUMIFS(#REF!,#REF!,adProjChocS2,#REF!,adProjCdCanton,#REF!,adProjIteration,#REF!,"3.AlmCr")</f>
        <v>0</v>
      </c>
      <c r="AA91" s="15">
        <f>SUMIFS(#REF!,#REF!,adProjChocS2,#REF!,adProjCdCanton,#REF!,adProjIteration,#REF!,"0.Init")+SUMIFS(#REF!,#REF!,adProjChocS2,#REF!,adProjCdCanton,#REF!,adProjIteration,#REF!,"3.AlmCr")</f>
        <v>0</v>
      </c>
      <c r="AB91" s="15">
        <f>SUMIFS(#REF!,#REF!,adProjChocS2,#REF!,adProjCdCanton,#REF!,adProjIteration,#REF!,"0.Init")+SUMIFS(#REF!,#REF!,adProjChocS2,#REF!,adProjCdCanton,#REF!,adProjIteration,#REF!,"3.AlmCr")</f>
        <v>0</v>
      </c>
      <c r="AC91" s="15">
        <f>SUMIFS(#REF!,#REF!,adProjChocS2,#REF!,adProjCdCanton,#REF!,adProjIteration,#REF!,"0.Init")+SUMIFS(#REF!,#REF!,adProjChocS2,#REF!,adProjCdCanton,#REF!,adProjIteration,#REF!,"3.AlmCr")</f>
        <v>0</v>
      </c>
      <c r="AD91" s="15">
        <f>SUMIFS(#REF!,#REF!,adProjChocS2,#REF!,adProjCdCanton,#REF!,adProjIteration,#REF!,"0.Init")+SUMIFS(#REF!,#REF!,adProjChocS2,#REF!,adProjCdCanton,#REF!,adProjIteration,#REF!,"3.AlmCr")</f>
        <v>0</v>
      </c>
      <c r="AE91" s="15">
        <f>SUMIFS(#REF!,#REF!,adProjChocS2,#REF!,adProjCdCanton,#REF!,adProjIteration,#REF!,"0.Init")+SUMIFS(#REF!,#REF!,adProjChocS2,#REF!,adProjCdCanton,#REF!,adProjIteration,#REF!,"3.AlmCr")</f>
        <v>0</v>
      </c>
      <c r="AF91" s="15">
        <f>SUMIFS(#REF!,#REF!,adProjChocS2,#REF!,adProjCdCanton,#REF!,adProjIteration,#REF!,"0.Init")+SUMIFS(#REF!,#REF!,adProjChocS2,#REF!,adProjCdCanton,#REF!,adProjIteration,#REF!,"3.AlmCr")</f>
        <v>0</v>
      </c>
      <c r="AG91" s="15">
        <f>SUMIFS(#REF!,#REF!,adProjChocS2,#REF!,adProjCdCanton,#REF!,adProjIteration,#REF!,"0.Init")+SUMIFS(#REF!,#REF!,adProjChocS2,#REF!,adProjCdCanton,#REF!,adProjIteration,#REF!,"3.AlmCr")</f>
        <v>0</v>
      </c>
      <c r="AH91" s="15">
        <f>SUMIFS(#REF!,#REF!,adProjChocS2,#REF!,adProjCdCanton,#REF!,adProjIteration,#REF!,"0.Init")+SUMIFS(#REF!,#REF!,adProjChocS2,#REF!,adProjCdCanton,#REF!,adProjIteration,#REF!,"3.AlmCr")</f>
        <v>0</v>
      </c>
      <c r="AI91" s="15">
        <f>SUMIFS(#REF!,#REF!,adProjChocS2,#REF!,adProjCdCanton,#REF!,adProjIteration,#REF!,"0.Init")+SUMIFS(#REF!,#REF!,adProjChocS2,#REF!,adProjCdCanton,#REF!,adProjIteration,#REF!,"3.AlmCr")</f>
        <v>0</v>
      </c>
      <c r="AJ91" s="15">
        <f>SUMIFS(#REF!,#REF!,adProjChocS2,#REF!,adProjCdCanton,#REF!,adProjIteration,#REF!,"0.Init")+SUMIFS(#REF!,#REF!,adProjChocS2,#REF!,adProjCdCanton,#REF!,adProjIteration,#REF!,"3.AlmCr")</f>
        <v>0</v>
      </c>
      <c r="AK91" s="15">
        <f>SUMIFS(#REF!,#REF!,adProjChocS2,#REF!,adProjCdCanton,#REF!,adProjIteration,#REF!,"0.Init")+SUMIFS(#REF!,#REF!,adProjChocS2,#REF!,adProjCdCanton,#REF!,adProjIteration,#REF!,"3.AlmCr")</f>
        <v>0</v>
      </c>
      <c r="AL91" s="15">
        <f>SUMIFS(#REF!,#REF!,adProjChocS2,#REF!,adProjCdCanton,#REF!,adProjIteration,#REF!,"0.Init")+SUMIFS(#REF!,#REF!,adProjChocS2,#REF!,adProjCdCanton,#REF!,adProjIteration,#REF!,"3.AlmCr")</f>
        <v>0</v>
      </c>
      <c r="AM91" s="15">
        <f>SUMIFS(#REF!,#REF!,adProjChocS2,#REF!,adProjCdCanton,#REF!,adProjIteration,#REF!,"0.Init")+SUMIFS(#REF!,#REF!,adProjChocS2,#REF!,adProjCdCanton,#REF!,adProjIteration,#REF!,"3.AlmCr")</f>
        <v>0</v>
      </c>
      <c r="AN91" s="15">
        <f>SUMIFS(#REF!,#REF!,adProjChocS2,#REF!,adProjCdCanton,#REF!,adProjIteration,#REF!,"0.Init")+SUMIFS(#REF!,#REF!,adProjChocS2,#REF!,adProjCdCanton,#REF!,adProjIteration,#REF!,"3.AlmCr")</f>
        <v>0</v>
      </c>
      <c r="AO91" s="15">
        <f>SUMIFS(#REF!,#REF!,adProjChocS2,#REF!,adProjCdCanton,#REF!,adProjIteration,#REF!,"0.Init")+SUMIFS(#REF!,#REF!,adProjChocS2,#REF!,adProjCdCanton,#REF!,adProjIteration,#REF!,"3.AlmCr")</f>
        <v>0</v>
      </c>
      <c r="AP91" s="15">
        <f>SUMIFS(#REF!,#REF!,adProjChocS2,#REF!,adProjCdCanton,#REF!,adProjIteration,#REF!,"0.Init")+SUMIFS(#REF!,#REF!,adProjChocS2,#REF!,adProjCdCanton,#REF!,adProjIteration,#REF!,"3.AlmCr")</f>
        <v>0</v>
      </c>
      <c r="AQ91" s="15">
        <f>SUMIFS(#REF!,#REF!,adProjChocS2,#REF!,adProjCdCanton,#REF!,adProjIteration,#REF!,"0.Init")+SUMIFS(#REF!,#REF!,adProjChocS2,#REF!,adProjCdCanton,#REF!,adProjIteration,#REF!,"3.AlmCr")</f>
        <v>0</v>
      </c>
      <c r="AR91" s="15">
        <f>SUMIFS(#REF!,#REF!,adProjChocS2,#REF!,adProjCdCanton,#REF!,adProjIteration,#REF!,"0.Init")+SUMIFS(#REF!,#REF!,adProjChocS2,#REF!,adProjCdCanton,#REF!,adProjIteration,#REF!,"3.AlmCr")</f>
        <v>0</v>
      </c>
      <c r="AS91" s="15">
        <f>SUMIFS(#REF!,#REF!,adProjChocS2,#REF!,adProjCdCanton,#REF!,adProjIteration,#REF!,"0.Init")+SUMIFS(#REF!,#REF!,adProjChocS2,#REF!,adProjCdCanton,#REF!,adProjIteration,#REF!,"3.AlmCr")</f>
        <v>0</v>
      </c>
      <c r="AT91" s="15">
        <f>SUMIFS(#REF!,#REF!,adProjChocS2,#REF!,adProjCdCanton,#REF!,adProjIteration,#REF!,"0.Init")+SUMIFS(#REF!,#REF!,adProjChocS2,#REF!,adProjCdCanton,#REF!,adProjIteration,#REF!,"3.AlmCr")</f>
        <v>0</v>
      </c>
      <c r="AU91" s="15">
        <f>SUMIFS(#REF!,#REF!,adProjChocS2,#REF!,adProjCdCanton,#REF!,adProjIteration,#REF!,"0.Init")+SUMIFS(#REF!,#REF!,adProjChocS2,#REF!,adProjCdCanton,#REF!,adProjIteration,#REF!,"3.AlmCr")</f>
        <v>0</v>
      </c>
      <c r="AV91" s="15">
        <f>SUMIFS(#REF!,#REF!,adProjChocS2,#REF!,adProjCdCanton,#REF!,adProjIteration,#REF!,"0.Init")+SUMIFS(#REF!,#REF!,adProjChocS2,#REF!,adProjCdCanton,#REF!,adProjIteration,#REF!,"3.AlmCr")</f>
        <v>0</v>
      </c>
      <c r="AW91" s="15">
        <f>SUMIFS(#REF!,#REF!,adProjChocS2,#REF!,adProjCdCanton,#REF!,adProjIteration,#REF!,"0.Init")+SUMIFS(#REF!,#REF!,adProjChocS2,#REF!,adProjCdCanton,#REF!,adProjIteration,#REF!,"3.AlmCr")</f>
        <v>0</v>
      </c>
      <c r="AX91" s="15">
        <f>SUMIFS(#REF!,#REF!,adProjChocS2,#REF!,adProjCdCanton,#REF!,adProjIteration,#REF!,"0.Init")+SUMIFS(#REF!,#REF!,adProjChocS2,#REF!,adProjCdCanton,#REF!,adProjIteration,#REF!,"3.AlmCr")</f>
        <v>0</v>
      </c>
      <c r="AY91" s="15">
        <f>SUMIFS(#REF!,#REF!,adProjChocS2,#REF!,adProjCdCanton,#REF!,adProjIteration,#REF!,"0.Init")+SUMIFS(#REF!,#REF!,adProjChocS2,#REF!,adProjCdCanton,#REF!,adProjIteration,#REF!,"3.AlmCr")</f>
        <v>0</v>
      </c>
      <c r="AZ91" s="15">
        <f>SUMIFS(#REF!,#REF!,adProjChocS2,#REF!,adProjCdCanton,#REF!,adProjIteration,#REF!,"0.Init")+SUMIFS(#REF!,#REF!,adProjChocS2,#REF!,adProjCdCanton,#REF!,adProjIteration,#REF!,"3.AlmCr")</f>
        <v>0</v>
      </c>
      <c r="BA91" s="15">
        <f>SUMIFS(#REF!,#REF!,adProjChocS2,#REF!,adProjCdCanton,#REF!,adProjIteration,#REF!,"0.Init")+SUMIFS(#REF!,#REF!,adProjChocS2,#REF!,adProjCdCanton,#REF!,adProjIteration,#REF!,"3.AlmCr")</f>
        <v>0</v>
      </c>
      <c r="BB91" s="15">
        <f>SUMIFS(#REF!,#REF!,adProjChocS2,#REF!,adProjCdCanton,#REF!,adProjIteration,#REF!,"0.Init")+SUMIFS(#REF!,#REF!,adProjChocS2,#REF!,adProjCdCanton,#REF!,adProjIteration,#REF!,"3.AlmCr")</f>
        <v>0</v>
      </c>
      <c r="BC91" s="26"/>
    </row>
    <row r="92" spans="1:55" ht="16.5" x14ac:dyDescent="0.3">
      <c r="B92" s="17"/>
      <c r="C92" s="14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26"/>
    </row>
    <row r="93" spans="1:55" ht="16.5" x14ac:dyDescent="0.3">
      <c r="B93" s="1"/>
      <c r="C93" s="27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</row>
    <row r="94" spans="1:55" s="33" customFormat="1" ht="16.5" x14ac:dyDescent="0.3">
      <c r="A94" s="29"/>
      <c r="B94" s="30" t="s">
        <v>77</v>
      </c>
      <c r="C94" s="30"/>
      <c r="D94" s="31">
        <v>0</v>
      </c>
      <c r="E94" s="31">
        <v>1</v>
      </c>
      <c r="F94" s="31">
        <v>2</v>
      </c>
      <c r="G94" s="31">
        <v>3</v>
      </c>
      <c r="H94" s="31">
        <v>4</v>
      </c>
      <c r="I94" s="31">
        <v>5</v>
      </c>
      <c r="J94" s="31">
        <v>6</v>
      </c>
      <c r="K94" s="31">
        <v>7</v>
      </c>
      <c r="L94" s="31">
        <v>8</v>
      </c>
      <c r="M94" s="31">
        <v>9</v>
      </c>
      <c r="N94" s="31">
        <v>10</v>
      </c>
      <c r="O94" s="31">
        <v>11</v>
      </c>
      <c r="P94" s="31">
        <v>12</v>
      </c>
      <c r="Q94" s="31">
        <v>13</v>
      </c>
      <c r="R94" s="31">
        <v>14</v>
      </c>
      <c r="S94" s="31">
        <v>15</v>
      </c>
      <c r="T94" s="31">
        <v>16</v>
      </c>
      <c r="U94" s="31">
        <v>17</v>
      </c>
      <c r="V94" s="31">
        <v>18</v>
      </c>
      <c r="W94" s="31">
        <v>19</v>
      </c>
      <c r="X94" s="31">
        <v>20</v>
      </c>
      <c r="Y94" s="31">
        <v>21</v>
      </c>
      <c r="Z94" s="31">
        <v>22</v>
      </c>
      <c r="AA94" s="31">
        <v>23</v>
      </c>
      <c r="AB94" s="31">
        <v>24</v>
      </c>
      <c r="AC94" s="31">
        <v>25</v>
      </c>
      <c r="AD94" s="31">
        <v>26</v>
      </c>
      <c r="AE94" s="31">
        <v>27</v>
      </c>
      <c r="AF94" s="31">
        <v>28</v>
      </c>
      <c r="AG94" s="31">
        <v>29</v>
      </c>
      <c r="AH94" s="31">
        <v>30</v>
      </c>
      <c r="AI94" s="31">
        <v>31</v>
      </c>
      <c r="AJ94" s="31">
        <v>32</v>
      </c>
      <c r="AK94" s="31">
        <v>33</v>
      </c>
      <c r="AL94" s="31">
        <v>34</v>
      </c>
      <c r="AM94" s="31">
        <v>35</v>
      </c>
      <c r="AN94" s="31">
        <v>36</v>
      </c>
      <c r="AO94" s="31">
        <v>37</v>
      </c>
      <c r="AP94" s="31">
        <v>38</v>
      </c>
      <c r="AQ94" s="31">
        <v>39</v>
      </c>
      <c r="AR94" s="31">
        <v>40</v>
      </c>
      <c r="AS94" s="31">
        <v>41</v>
      </c>
      <c r="AT94" s="31">
        <v>42</v>
      </c>
      <c r="AU94" s="31">
        <v>43</v>
      </c>
      <c r="AV94" s="31">
        <v>44</v>
      </c>
      <c r="AW94" s="31">
        <v>45</v>
      </c>
      <c r="AX94" s="31">
        <v>46</v>
      </c>
      <c r="AY94" s="31">
        <v>47</v>
      </c>
      <c r="AZ94" s="31">
        <v>48</v>
      </c>
      <c r="BA94" s="31">
        <v>49</v>
      </c>
      <c r="BB94" s="32">
        <v>50</v>
      </c>
    </row>
    <row r="95" spans="1:55" ht="16.5" x14ac:dyDescent="0.3">
      <c r="A95" s="16"/>
      <c r="B95" s="34"/>
      <c r="C95" s="35" t="s">
        <v>78</v>
      </c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</row>
    <row r="96" spans="1:55" ht="16.5" x14ac:dyDescent="0.3">
      <c r="A96" s="16"/>
      <c r="B96" s="34"/>
      <c r="C96" s="37" t="s">
        <v>79</v>
      </c>
      <c r="D96" s="38">
        <f>SUMIFS(PrdAdPassifEp!$I:$I,PrdAdPassifEp!$B:$B,adProjChocS2,PrdAdPassifEp!$C:$C,adProjScenario,PrdAdPassifEp!$D:$D,adProjIteration,PrdAdPassifEp!$E:$E,"1.Perf",PrdAdPassifEp!$G:$G,adProjCdCanton)</f>
        <v>0</v>
      </c>
      <c r="E96" s="38">
        <f>SUMIFS(PrdAdPassifEp!$I:$I,PrdAdPassifEp!$B:$B,adProjChocS2,PrdAdPassifEp!$C:$C,adProjScenario,PrdAdPassifEp!$D:$D,adProjIteration,PrdAdPassifEp!$E:$E,"1.Perf",PrdAdPassifEp!$G:$G,adProjCdCanton)</f>
        <v>0</v>
      </c>
      <c r="F96" s="38">
        <f>SUMIFS(PrdAdPassifEp!$I:$I,PrdAdPassifEp!$B:$B,adProjChocS2,PrdAdPassifEp!$C:$C,adProjScenario,PrdAdPassifEp!$D:$D,adProjIteration,PrdAdPassifEp!$E:$E,"1.Perf",PrdAdPassifEp!$G:$G,adProjCdCanton)</f>
        <v>0</v>
      </c>
      <c r="G96" s="38">
        <f>SUMIFS(PrdAdPassifEp!$I:$I,PrdAdPassifEp!$B:$B,adProjChocS2,PrdAdPassifEp!$C:$C,adProjScenario,PrdAdPassifEp!$D:$D,adProjIteration,PrdAdPassifEp!$E:$E,"1.Perf",PrdAdPassifEp!$G:$G,adProjCdCanton)</f>
        <v>0</v>
      </c>
      <c r="H96" s="38">
        <f>SUMIFS(PrdAdPassifEp!$I:$I,PrdAdPassifEp!$B:$B,adProjChocS2,PrdAdPassifEp!$C:$C,adProjScenario,PrdAdPassifEp!$D:$D,adProjIteration,PrdAdPassifEp!$E:$E,"1.Perf",PrdAdPassifEp!$G:$G,adProjCdCanton)</f>
        <v>0</v>
      </c>
      <c r="I96" s="38">
        <f>SUMIFS(PrdAdPassifEp!$I:$I,PrdAdPassifEp!$B:$B,adProjChocS2,PrdAdPassifEp!$C:$C,adProjScenario,PrdAdPassifEp!$D:$D,adProjIteration,PrdAdPassifEp!$E:$E,"1.Perf",PrdAdPassifEp!$G:$G,adProjCdCanton)</f>
        <v>0</v>
      </c>
      <c r="J96" s="38">
        <f>SUMIFS(PrdAdPassifEp!$I:$I,PrdAdPassifEp!$B:$B,adProjChocS2,PrdAdPassifEp!$C:$C,adProjScenario,PrdAdPassifEp!$D:$D,adProjIteration,PrdAdPassifEp!$E:$E,"1.Perf",PrdAdPassifEp!$G:$G,adProjCdCanton)</f>
        <v>0</v>
      </c>
      <c r="K96" s="38">
        <f>SUMIFS(PrdAdPassifEp!$I:$I,PrdAdPassifEp!$B:$B,adProjChocS2,PrdAdPassifEp!$C:$C,adProjScenario,PrdAdPassifEp!$D:$D,adProjIteration,PrdAdPassifEp!$E:$E,"1.Perf",PrdAdPassifEp!$G:$G,adProjCdCanton)</f>
        <v>0</v>
      </c>
      <c r="L96" s="38">
        <f>SUMIFS(PrdAdPassifEp!$I:$I,PrdAdPassifEp!$B:$B,adProjChocS2,PrdAdPassifEp!$C:$C,adProjScenario,PrdAdPassifEp!$D:$D,adProjIteration,PrdAdPassifEp!$E:$E,"1.Perf",PrdAdPassifEp!$G:$G,adProjCdCanton)</f>
        <v>0</v>
      </c>
      <c r="M96" s="38">
        <f>SUMIFS(PrdAdPassifEp!$I:$I,PrdAdPassifEp!$B:$B,adProjChocS2,PrdAdPassifEp!$C:$C,adProjScenario,PrdAdPassifEp!$D:$D,adProjIteration,PrdAdPassifEp!$E:$E,"1.Perf",PrdAdPassifEp!$G:$G,adProjCdCanton)</f>
        <v>0</v>
      </c>
      <c r="N96" s="38">
        <f>SUMIFS(PrdAdPassifEp!$I:$I,PrdAdPassifEp!$B:$B,adProjChocS2,PrdAdPassifEp!$C:$C,adProjScenario,PrdAdPassifEp!$D:$D,adProjIteration,PrdAdPassifEp!$E:$E,"1.Perf",PrdAdPassifEp!$G:$G,adProjCdCanton)</f>
        <v>0</v>
      </c>
      <c r="O96" s="38">
        <f>SUMIFS(PrdAdPassifEp!$I:$I,PrdAdPassifEp!$B:$B,adProjChocS2,PrdAdPassifEp!$C:$C,adProjScenario,PrdAdPassifEp!$D:$D,adProjIteration,PrdAdPassifEp!$E:$E,"1.Perf",PrdAdPassifEp!$G:$G,adProjCdCanton)</f>
        <v>0</v>
      </c>
      <c r="P96" s="38">
        <f>SUMIFS(PrdAdPassifEp!$I:$I,PrdAdPassifEp!$B:$B,adProjChocS2,PrdAdPassifEp!$C:$C,adProjScenario,PrdAdPassifEp!$D:$D,adProjIteration,PrdAdPassifEp!$E:$E,"1.Perf",PrdAdPassifEp!$G:$G,adProjCdCanton)</f>
        <v>0</v>
      </c>
      <c r="Q96" s="38">
        <f>SUMIFS(PrdAdPassifEp!$I:$I,PrdAdPassifEp!$B:$B,adProjChocS2,PrdAdPassifEp!$C:$C,adProjScenario,PrdAdPassifEp!$D:$D,adProjIteration,PrdAdPassifEp!$E:$E,"1.Perf",PrdAdPassifEp!$G:$G,adProjCdCanton)</f>
        <v>0</v>
      </c>
      <c r="R96" s="38">
        <f>SUMIFS(PrdAdPassifEp!$I:$I,PrdAdPassifEp!$B:$B,adProjChocS2,PrdAdPassifEp!$C:$C,adProjScenario,PrdAdPassifEp!$D:$D,adProjIteration,PrdAdPassifEp!$E:$E,"1.Perf",PrdAdPassifEp!$G:$G,adProjCdCanton)</f>
        <v>0</v>
      </c>
      <c r="S96" s="38">
        <f>SUMIFS(PrdAdPassifEp!$I:$I,PrdAdPassifEp!$B:$B,adProjChocS2,PrdAdPassifEp!$C:$C,adProjScenario,PrdAdPassifEp!$D:$D,adProjIteration,PrdAdPassifEp!$E:$E,"1.Perf",PrdAdPassifEp!$G:$G,adProjCdCanton)</f>
        <v>0</v>
      </c>
      <c r="T96" s="38">
        <f>SUMIFS(PrdAdPassifEp!$I:$I,PrdAdPassifEp!$B:$B,adProjChocS2,PrdAdPassifEp!$C:$C,adProjScenario,PrdAdPassifEp!$D:$D,adProjIteration,PrdAdPassifEp!$E:$E,"1.Perf",PrdAdPassifEp!$G:$G,adProjCdCanton)</f>
        <v>0</v>
      </c>
      <c r="U96" s="38">
        <f>SUMIFS(PrdAdPassifEp!$I:$I,PrdAdPassifEp!$B:$B,adProjChocS2,PrdAdPassifEp!$C:$C,adProjScenario,PrdAdPassifEp!$D:$D,adProjIteration,PrdAdPassifEp!$E:$E,"1.Perf",PrdAdPassifEp!$G:$G,adProjCdCanton)</f>
        <v>0</v>
      </c>
      <c r="V96" s="38">
        <f>SUMIFS(PrdAdPassifEp!$I:$I,PrdAdPassifEp!$B:$B,adProjChocS2,PrdAdPassifEp!$C:$C,adProjScenario,PrdAdPassifEp!$D:$D,adProjIteration,PrdAdPassifEp!$E:$E,"1.Perf",PrdAdPassifEp!$G:$G,adProjCdCanton)</f>
        <v>0</v>
      </c>
      <c r="W96" s="38">
        <f>SUMIFS(PrdAdPassifEp!$I:$I,PrdAdPassifEp!$B:$B,adProjChocS2,PrdAdPassifEp!$C:$C,adProjScenario,PrdAdPassifEp!$D:$D,adProjIteration,PrdAdPassifEp!$E:$E,"1.Perf",PrdAdPassifEp!$G:$G,adProjCdCanton)</f>
        <v>0</v>
      </c>
      <c r="X96" s="38">
        <f>SUMIFS(PrdAdPassifEp!$I:$I,PrdAdPassifEp!$B:$B,adProjChocS2,PrdAdPassifEp!$C:$C,adProjScenario,PrdAdPassifEp!$D:$D,adProjIteration,PrdAdPassifEp!$E:$E,"1.Perf",PrdAdPassifEp!$G:$G,adProjCdCanton)</f>
        <v>0</v>
      </c>
      <c r="Y96" s="38">
        <f>SUMIFS(PrdAdPassifEp!$I:$I,PrdAdPassifEp!$B:$B,adProjChocS2,PrdAdPassifEp!$C:$C,adProjScenario,PrdAdPassifEp!$D:$D,adProjIteration,PrdAdPassifEp!$E:$E,"1.Perf",PrdAdPassifEp!$G:$G,adProjCdCanton)</f>
        <v>0</v>
      </c>
      <c r="Z96" s="38">
        <f>SUMIFS(PrdAdPassifEp!$I:$I,PrdAdPassifEp!$B:$B,adProjChocS2,PrdAdPassifEp!$C:$C,adProjScenario,PrdAdPassifEp!$D:$D,adProjIteration,PrdAdPassifEp!$E:$E,"1.Perf",PrdAdPassifEp!$G:$G,adProjCdCanton)</f>
        <v>0</v>
      </c>
      <c r="AA96" s="38">
        <f>SUMIFS(PrdAdPassifEp!$I:$I,PrdAdPassifEp!$B:$B,adProjChocS2,PrdAdPassifEp!$C:$C,adProjScenario,PrdAdPassifEp!$D:$D,adProjIteration,PrdAdPassifEp!$E:$E,"1.Perf",PrdAdPassifEp!$G:$G,adProjCdCanton)</f>
        <v>0</v>
      </c>
      <c r="AB96" s="38">
        <f>SUMIFS(PrdAdPassifEp!$I:$I,PrdAdPassifEp!$B:$B,adProjChocS2,PrdAdPassifEp!$C:$C,adProjScenario,PrdAdPassifEp!$D:$D,adProjIteration,PrdAdPassifEp!$E:$E,"1.Perf",PrdAdPassifEp!$G:$G,adProjCdCanton)</f>
        <v>0</v>
      </c>
      <c r="AC96" s="38">
        <f>SUMIFS(PrdAdPassifEp!$I:$I,PrdAdPassifEp!$B:$B,adProjChocS2,PrdAdPassifEp!$C:$C,adProjScenario,PrdAdPassifEp!$D:$D,adProjIteration,PrdAdPassifEp!$E:$E,"1.Perf",PrdAdPassifEp!$G:$G,adProjCdCanton)</f>
        <v>0</v>
      </c>
      <c r="AD96" s="38">
        <f>SUMIFS(PrdAdPassifEp!$I:$I,PrdAdPassifEp!$B:$B,adProjChocS2,PrdAdPassifEp!$C:$C,adProjScenario,PrdAdPassifEp!$D:$D,adProjIteration,PrdAdPassifEp!$E:$E,"1.Perf",PrdAdPassifEp!$G:$G,adProjCdCanton)</f>
        <v>0</v>
      </c>
      <c r="AE96" s="38">
        <f>SUMIFS(PrdAdPassifEp!$I:$I,PrdAdPassifEp!$B:$B,adProjChocS2,PrdAdPassifEp!$C:$C,adProjScenario,PrdAdPassifEp!$D:$D,adProjIteration,PrdAdPassifEp!$E:$E,"1.Perf",PrdAdPassifEp!$G:$G,adProjCdCanton)</f>
        <v>0</v>
      </c>
      <c r="AF96" s="38">
        <f>SUMIFS(PrdAdPassifEp!$I:$I,PrdAdPassifEp!$B:$B,adProjChocS2,PrdAdPassifEp!$C:$C,adProjScenario,PrdAdPassifEp!$D:$D,adProjIteration,PrdAdPassifEp!$E:$E,"1.Perf",PrdAdPassifEp!$G:$G,adProjCdCanton)</f>
        <v>0</v>
      </c>
      <c r="AG96" s="38">
        <f>SUMIFS(PrdAdPassifEp!$I:$I,PrdAdPassifEp!$B:$B,adProjChocS2,PrdAdPassifEp!$C:$C,adProjScenario,PrdAdPassifEp!$D:$D,adProjIteration,PrdAdPassifEp!$E:$E,"1.Perf",PrdAdPassifEp!$G:$G,adProjCdCanton)</f>
        <v>0</v>
      </c>
      <c r="AH96" s="38">
        <f>SUMIFS(PrdAdPassifEp!$I:$I,PrdAdPassifEp!$B:$B,adProjChocS2,PrdAdPassifEp!$C:$C,adProjScenario,PrdAdPassifEp!$D:$D,adProjIteration,PrdAdPassifEp!$E:$E,"1.Perf",PrdAdPassifEp!$G:$G,adProjCdCanton)</f>
        <v>0</v>
      </c>
      <c r="AI96" s="38">
        <f>SUMIFS(PrdAdPassifEp!$I:$I,PrdAdPassifEp!$B:$B,adProjChocS2,PrdAdPassifEp!$C:$C,adProjScenario,PrdAdPassifEp!$D:$D,adProjIteration,PrdAdPassifEp!$E:$E,"1.Perf",PrdAdPassifEp!$G:$G,adProjCdCanton)</f>
        <v>0</v>
      </c>
      <c r="AJ96" s="38">
        <f>SUMIFS(PrdAdPassifEp!$I:$I,PrdAdPassifEp!$B:$B,adProjChocS2,PrdAdPassifEp!$C:$C,adProjScenario,PrdAdPassifEp!$D:$D,adProjIteration,PrdAdPassifEp!$E:$E,"1.Perf",PrdAdPassifEp!$G:$G,adProjCdCanton)</f>
        <v>0</v>
      </c>
      <c r="AK96" s="38">
        <f>SUMIFS(PrdAdPassifEp!$I:$I,PrdAdPassifEp!$B:$B,adProjChocS2,PrdAdPassifEp!$C:$C,adProjScenario,PrdAdPassifEp!$D:$D,adProjIteration,PrdAdPassifEp!$E:$E,"1.Perf",PrdAdPassifEp!$G:$G,adProjCdCanton)</f>
        <v>0</v>
      </c>
      <c r="AL96" s="38">
        <f>SUMIFS(PrdAdPassifEp!$I:$I,PrdAdPassifEp!$B:$B,adProjChocS2,PrdAdPassifEp!$C:$C,adProjScenario,PrdAdPassifEp!$D:$D,adProjIteration,PrdAdPassifEp!$E:$E,"1.Perf",PrdAdPassifEp!$G:$G,adProjCdCanton)</f>
        <v>0</v>
      </c>
      <c r="AM96" s="38">
        <f>SUMIFS(PrdAdPassifEp!$I:$I,PrdAdPassifEp!$B:$B,adProjChocS2,PrdAdPassifEp!$C:$C,adProjScenario,PrdAdPassifEp!$D:$D,adProjIteration,PrdAdPassifEp!$E:$E,"1.Perf",PrdAdPassifEp!$G:$G,adProjCdCanton)</f>
        <v>0</v>
      </c>
      <c r="AN96" s="38">
        <f>SUMIFS(PrdAdPassifEp!$I:$I,PrdAdPassifEp!$B:$B,adProjChocS2,PrdAdPassifEp!$C:$C,adProjScenario,PrdAdPassifEp!$D:$D,adProjIteration,PrdAdPassifEp!$E:$E,"1.Perf",PrdAdPassifEp!$G:$G,adProjCdCanton)</f>
        <v>0</v>
      </c>
      <c r="AO96" s="38">
        <f>SUMIFS(PrdAdPassifEp!$I:$I,PrdAdPassifEp!$B:$B,adProjChocS2,PrdAdPassifEp!$C:$C,adProjScenario,PrdAdPassifEp!$D:$D,adProjIteration,PrdAdPassifEp!$E:$E,"1.Perf",PrdAdPassifEp!$G:$G,adProjCdCanton)</f>
        <v>0</v>
      </c>
      <c r="AP96" s="38">
        <f>SUMIFS(PrdAdPassifEp!$I:$I,PrdAdPassifEp!$B:$B,adProjChocS2,PrdAdPassifEp!$C:$C,adProjScenario,PrdAdPassifEp!$D:$D,adProjIteration,PrdAdPassifEp!$E:$E,"1.Perf",PrdAdPassifEp!$G:$G,adProjCdCanton)</f>
        <v>0</v>
      </c>
      <c r="AQ96" s="38">
        <f>SUMIFS(PrdAdPassifEp!$I:$I,PrdAdPassifEp!$B:$B,adProjChocS2,PrdAdPassifEp!$C:$C,adProjScenario,PrdAdPassifEp!$D:$D,adProjIteration,PrdAdPassifEp!$E:$E,"1.Perf",PrdAdPassifEp!$G:$G,adProjCdCanton)</f>
        <v>0</v>
      </c>
      <c r="AR96" s="38">
        <f>SUMIFS(PrdAdPassifEp!$I:$I,PrdAdPassifEp!$B:$B,adProjChocS2,PrdAdPassifEp!$C:$C,adProjScenario,PrdAdPassifEp!$D:$D,adProjIteration,PrdAdPassifEp!$E:$E,"1.Perf",PrdAdPassifEp!$G:$G,adProjCdCanton)</f>
        <v>0</v>
      </c>
      <c r="AS96" s="38">
        <f>SUMIFS(PrdAdPassifEp!$I:$I,PrdAdPassifEp!$B:$B,adProjChocS2,PrdAdPassifEp!$C:$C,adProjScenario,PrdAdPassifEp!$D:$D,adProjIteration,PrdAdPassifEp!$E:$E,"1.Perf",PrdAdPassifEp!$G:$G,adProjCdCanton)</f>
        <v>0</v>
      </c>
      <c r="AT96" s="38">
        <f>SUMIFS(PrdAdPassifEp!$I:$I,PrdAdPassifEp!$B:$B,adProjChocS2,PrdAdPassifEp!$C:$C,adProjScenario,PrdAdPassifEp!$D:$D,adProjIteration,PrdAdPassifEp!$E:$E,"1.Perf",PrdAdPassifEp!$G:$G,adProjCdCanton)</f>
        <v>0</v>
      </c>
      <c r="AU96" s="38">
        <f>SUMIFS(PrdAdPassifEp!$I:$I,PrdAdPassifEp!$B:$B,adProjChocS2,PrdAdPassifEp!$C:$C,adProjScenario,PrdAdPassifEp!$D:$D,adProjIteration,PrdAdPassifEp!$E:$E,"1.Perf",PrdAdPassifEp!$G:$G,adProjCdCanton)</f>
        <v>0</v>
      </c>
      <c r="AV96" s="38">
        <f>SUMIFS(PrdAdPassifEp!$I:$I,PrdAdPassifEp!$B:$B,adProjChocS2,PrdAdPassifEp!$C:$C,adProjScenario,PrdAdPassifEp!$D:$D,adProjIteration,PrdAdPassifEp!$E:$E,"1.Perf",PrdAdPassifEp!$G:$G,adProjCdCanton)</f>
        <v>0</v>
      </c>
      <c r="AW96" s="38">
        <f>SUMIFS(PrdAdPassifEp!$I:$I,PrdAdPassifEp!$B:$B,adProjChocS2,PrdAdPassifEp!$C:$C,adProjScenario,PrdAdPassifEp!$D:$D,adProjIteration,PrdAdPassifEp!$E:$E,"1.Perf",PrdAdPassifEp!$G:$G,adProjCdCanton)</f>
        <v>0</v>
      </c>
      <c r="AX96" s="38">
        <f>SUMIFS(PrdAdPassifEp!$I:$I,PrdAdPassifEp!$B:$B,adProjChocS2,PrdAdPassifEp!$C:$C,adProjScenario,PrdAdPassifEp!$D:$D,adProjIteration,PrdAdPassifEp!$E:$E,"1.Perf",PrdAdPassifEp!$G:$G,adProjCdCanton)</f>
        <v>0</v>
      </c>
      <c r="AY96" s="38">
        <f>SUMIFS(PrdAdPassifEp!$I:$I,PrdAdPassifEp!$B:$B,adProjChocS2,PrdAdPassifEp!$C:$C,adProjScenario,PrdAdPassifEp!$D:$D,adProjIteration,PrdAdPassifEp!$E:$E,"1.Perf",PrdAdPassifEp!$G:$G,adProjCdCanton)</f>
        <v>0</v>
      </c>
      <c r="AZ96" s="38">
        <f>SUMIFS(PrdAdPassifEp!$I:$I,PrdAdPassifEp!$B:$B,adProjChocS2,PrdAdPassifEp!$C:$C,adProjScenario,PrdAdPassifEp!$D:$D,adProjIteration,PrdAdPassifEp!$E:$E,"1.Perf",PrdAdPassifEp!$G:$G,adProjCdCanton)</f>
        <v>0</v>
      </c>
      <c r="BA96" s="38">
        <f>SUMIFS(PrdAdPassifEp!$I:$I,PrdAdPassifEp!$B:$B,adProjChocS2,PrdAdPassifEp!$C:$C,adProjScenario,PrdAdPassifEp!$D:$D,adProjIteration,PrdAdPassifEp!$E:$E,"1.Perf",PrdAdPassifEp!$G:$G,adProjCdCanton)</f>
        <v>0</v>
      </c>
      <c r="BB96" s="38">
        <f>SUMIFS(PrdAdPassifEp!$I:$I,PrdAdPassifEp!$B:$B,adProjChocS2,PrdAdPassifEp!$C:$C,adProjScenario,PrdAdPassifEp!$D:$D,adProjIteration,PrdAdPassifEp!$E:$E,"1.Perf",PrdAdPassifEp!$G:$G,adProjCdCanton)</f>
        <v>0</v>
      </c>
    </row>
    <row r="97" spans="1:54" ht="16.5" x14ac:dyDescent="0.3">
      <c r="A97" s="16"/>
      <c r="B97" s="34"/>
      <c r="C97" s="37" t="s">
        <v>80</v>
      </c>
      <c r="D97" s="38">
        <f>SUMIFS(PrdAdPassifEp!$J:$J,PrdAdPassifEp!$B:$B,adProjChocS2,PrdAdPassifEp!$C:$C,adProjScenario,PrdAdPassifEp!$D:$D,adProjIteration,PrdAdPassifEp!$E:$E,"1.Perf",PrdAdPassifEp!$G:$G,adProjCdCanton)</f>
        <v>0</v>
      </c>
      <c r="E97" s="38">
        <f>SUMIFS(PrdAdPassifEp!$J:$J,PrdAdPassifEp!$B:$B,adProjChocS2,PrdAdPassifEp!$C:$C,adProjScenario,PrdAdPassifEp!$D:$D,adProjIteration,PrdAdPassifEp!$E:$E,"1.Perf",PrdAdPassifEp!$G:$G,adProjCdCanton)</f>
        <v>0</v>
      </c>
      <c r="F97" s="38">
        <f>SUMIFS(PrdAdPassifEp!$J:$J,PrdAdPassifEp!$B:$B,adProjChocS2,PrdAdPassifEp!$C:$C,adProjScenario,PrdAdPassifEp!$D:$D,adProjIteration,PrdAdPassifEp!$E:$E,"1.Perf",PrdAdPassifEp!$G:$G,adProjCdCanton)</f>
        <v>0</v>
      </c>
      <c r="G97" s="38">
        <f>SUMIFS(PrdAdPassifEp!$J:$J,PrdAdPassifEp!$B:$B,adProjChocS2,PrdAdPassifEp!$C:$C,adProjScenario,PrdAdPassifEp!$D:$D,adProjIteration,PrdAdPassifEp!$E:$E,"1.Perf",PrdAdPassifEp!$G:$G,adProjCdCanton)</f>
        <v>0</v>
      </c>
      <c r="H97" s="38">
        <f>SUMIFS(PrdAdPassifEp!$J:$J,PrdAdPassifEp!$B:$B,adProjChocS2,PrdAdPassifEp!$C:$C,adProjScenario,PrdAdPassifEp!$D:$D,adProjIteration,PrdAdPassifEp!$E:$E,"1.Perf",PrdAdPassifEp!$G:$G,adProjCdCanton)</f>
        <v>0</v>
      </c>
      <c r="I97" s="38">
        <f>SUMIFS(PrdAdPassifEp!$J:$J,PrdAdPassifEp!$B:$B,adProjChocS2,PrdAdPassifEp!$C:$C,adProjScenario,PrdAdPassifEp!$D:$D,adProjIteration,PrdAdPassifEp!$E:$E,"1.Perf",PrdAdPassifEp!$G:$G,adProjCdCanton)</f>
        <v>0</v>
      </c>
      <c r="J97" s="38">
        <f>SUMIFS(PrdAdPassifEp!$J:$J,PrdAdPassifEp!$B:$B,adProjChocS2,PrdAdPassifEp!$C:$C,adProjScenario,PrdAdPassifEp!$D:$D,adProjIteration,PrdAdPassifEp!$E:$E,"1.Perf",PrdAdPassifEp!$G:$G,adProjCdCanton)</f>
        <v>0</v>
      </c>
      <c r="K97" s="38">
        <f>SUMIFS(PrdAdPassifEp!$J:$J,PrdAdPassifEp!$B:$B,adProjChocS2,PrdAdPassifEp!$C:$C,adProjScenario,PrdAdPassifEp!$D:$D,adProjIteration,PrdAdPassifEp!$E:$E,"1.Perf",PrdAdPassifEp!$G:$G,adProjCdCanton)</f>
        <v>0</v>
      </c>
      <c r="L97" s="38">
        <f>SUMIFS(PrdAdPassifEp!$J:$J,PrdAdPassifEp!$B:$B,adProjChocS2,PrdAdPassifEp!$C:$C,adProjScenario,PrdAdPassifEp!$D:$D,adProjIteration,PrdAdPassifEp!$E:$E,"1.Perf",PrdAdPassifEp!$G:$G,adProjCdCanton)</f>
        <v>0</v>
      </c>
      <c r="M97" s="38">
        <f>SUMIFS(PrdAdPassifEp!$J:$J,PrdAdPassifEp!$B:$B,adProjChocS2,PrdAdPassifEp!$C:$C,adProjScenario,PrdAdPassifEp!$D:$D,adProjIteration,PrdAdPassifEp!$E:$E,"1.Perf",PrdAdPassifEp!$G:$G,adProjCdCanton)</f>
        <v>0</v>
      </c>
      <c r="N97" s="38">
        <f>SUMIFS(PrdAdPassifEp!$J:$J,PrdAdPassifEp!$B:$B,adProjChocS2,PrdAdPassifEp!$C:$C,adProjScenario,PrdAdPassifEp!$D:$D,adProjIteration,PrdAdPassifEp!$E:$E,"1.Perf",PrdAdPassifEp!$G:$G,adProjCdCanton)</f>
        <v>0</v>
      </c>
      <c r="O97" s="38">
        <f>SUMIFS(PrdAdPassifEp!$J:$J,PrdAdPassifEp!$B:$B,adProjChocS2,PrdAdPassifEp!$C:$C,adProjScenario,PrdAdPassifEp!$D:$D,adProjIteration,PrdAdPassifEp!$E:$E,"1.Perf",PrdAdPassifEp!$G:$G,adProjCdCanton)</f>
        <v>0</v>
      </c>
      <c r="P97" s="38">
        <f>SUMIFS(PrdAdPassifEp!$J:$J,PrdAdPassifEp!$B:$B,adProjChocS2,PrdAdPassifEp!$C:$C,adProjScenario,PrdAdPassifEp!$D:$D,adProjIteration,PrdAdPassifEp!$E:$E,"1.Perf",PrdAdPassifEp!$G:$G,adProjCdCanton)</f>
        <v>0</v>
      </c>
      <c r="Q97" s="38">
        <f>SUMIFS(PrdAdPassifEp!$J:$J,PrdAdPassifEp!$B:$B,adProjChocS2,PrdAdPassifEp!$C:$C,adProjScenario,PrdAdPassifEp!$D:$D,adProjIteration,PrdAdPassifEp!$E:$E,"1.Perf",PrdAdPassifEp!$G:$G,adProjCdCanton)</f>
        <v>0</v>
      </c>
      <c r="R97" s="38">
        <f>SUMIFS(PrdAdPassifEp!$J:$J,PrdAdPassifEp!$B:$B,adProjChocS2,PrdAdPassifEp!$C:$C,adProjScenario,PrdAdPassifEp!$D:$D,adProjIteration,PrdAdPassifEp!$E:$E,"1.Perf",PrdAdPassifEp!$G:$G,adProjCdCanton)</f>
        <v>0</v>
      </c>
      <c r="S97" s="38">
        <f>SUMIFS(PrdAdPassifEp!$J:$J,PrdAdPassifEp!$B:$B,adProjChocS2,PrdAdPassifEp!$C:$C,adProjScenario,PrdAdPassifEp!$D:$D,adProjIteration,PrdAdPassifEp!$E:$E,"1.Perf",PrdAdPassifEp!$G:$G,adProjCdCanton)</f>
        <v>0</v>
      </c>
      <c r="T97" s="38">
        <f>SUMIFS(PrdAdPassifEp!$J:$J,PrdAdPassifEp!$B:$B,adProjChocS2,PrdAdPassifEp!$C:$C,adProjScenario,PrdAdPassifEp!$D:$D,adProjIteration,PrdAdPassifEp!$E:$E,"1.Perf",PrdAdPassifEp!$G:$G,adProjCdCanton)</f>
        <v>0</v>
      </c>
      <c r="U97" s="38">
        <f>SUMIFS(PrdAdPassifEp!$J:$J,PrdAdPassifEp!$B:$B,adProjChocS2,PrdAdPassifEp!$C:$C,adProjScenario,PrdAdPassifEp!$D:$D,adProjIteration,PrdAdPassifEp!$E:$E,"1.Perf",PrdAdPassifEp!$G:$G,adProjCdCanton)</f>
        <v>0</v>
      </c>
      <c r="V97" s="38">
        <f>SUMIFS(PrdAdPassifEp!$J:$J,PrdAdPassifEp!$B:$B,adProjChocS2,PrdAdPassifEp!$C:$C,adProjScenario,PrdAdPassifEp!$D:$D,adProjIteration,PrdAdPassifEp!$E:$E,"1.Perf",PrdAdPassifEp!$G:$G,adProjCdCanton)</f>
        <v>0</v>
      </c>
      <c r="W97" s="38">
        <f>SUMIFS(PrdAdPassifEp!$J:$J,PrdAdPassifEp!$B:$B,adProjChocS2,PrdAdPassifEp!$C:$C,adProjScenario,PrdAdPassifEp!$D:$D,adProjIteration,PrdAdPassifEp!$E:$E,"1.Perf",PrdAdPassifEp!$G:$G,adProjCdCanton)</f>
        <v>0</v>
      </c>
      <c r="X97" s="38">
        <f>SUMIFS(PrdAdPassifEp!$J:$J,PrdAdPassifEp!$B:$B,adProjChocS2,PrdAdPassifEp!$C:$C,adProjScenario,PrdAdPassifEp!$D:$D,adProjIteration,PrdAdPassifEp!$E:$E,"1.Perf",PrdAdPassifEp!$G:$G,adProjCdCanton)</f>
        <v>0</v>
      </c>
      <c r="Y97" s="38">
        <f>SUMIFS(PrdAdPassifEp!$J:$J,PrdAdPassifEp!$B:$B,adProjChocS2,PrdAdPassifEp!$C:$C,adProjScenario,PrdAdPassifEp!$D:$D,adProjIteration,PrdAdPassifEp!$E:$E,"1.Perf",PrdAdPassifEp!$G:$G,adProjCdCanton)</f>
        <v>0</v>
      </c>
      <c r="Z97" s="38">
        <f>SUMIFS(PrdAdPassifEp!$J:$J,PrdAdPassifEp!$B:$B,adProjChocS2,PrdAdPassifEp!$C:$C,adProjScenario,PrdAdPassifEp!$D:$D,adProjIteration,PrdAdPassifEp!$E:$E,"1.Perf",PrdAdPassifEp!$G:$G,adProjCdCanton)</f>
        <v>0</v>
      </c>
      <c r="AA97" s="38">
        <f>SUMIFS(PrdAdPassifEp!$J:$J,PrdAdPassifEp!$B:$B,adProjChocS2,PrdAdPassifEp!$C:$C,adProjScenario,PrdAdPassifEp!$D:$D,adProjIteration,PrdAdPassifEp!$E:$E,"1.Perf",PrdAdPassifEp!$G:$G,adProjCdCanton)</f>
        <v>0</v>
      </c>
      <c r="AB97" s="38">
        <f>SUMIFS(PrdAdPassifEp!$J:$J,PrdAdPassifEp!$B:$B,adProjChocS2,PrdAdPassifEp!$C:$C,adProjScenario,PrdAdPassifEp!$D:$D,adProjIteration,PrdAdPassifEp!$E:$E,"1.Perf",PrdAdPassifEp!$G:$G,adProjCdCanton)</f>
        <v>0</v>
      </c>
      <c r="AC97" s="38">
        <f>SUMIFS(PrdAdPassifEp!$J:$J,PrdAdPassifEp!$B:$B,adProjChocS2,PrdAdPassifEp!$C:$C,adProjScenario,PrdAdPassifEp!$D:$D,adProjIteration,PrdAdPassifEp!$E:$E,"1.Perf",PrdAdPassifEp!$G:$G,adProjCdCanton)</f>
        <v>0</v>
      </c>
      <c r="AD97" s="38">
        <f>SUMIFS(PrdAdPassifEp!$J:$J,PrdAdPassifEp!$B:$B,adProjChocS2,PrdAdPassifEp!$C:$C,adProjScenario,PrdAdPassifEp!$D:$D,adProjIteration,PrdAdPassifEp!$E:$E,"1.Perf",PrdAdPassifEp!$G:$G,adProjCdCanton)</f>
        <v>0</v>
      </c>
      <c r="AE97" s="38">
        <f>SUMIFS(PrdAdPassifEp!$J:$J,PrdAdPassifEp!$B:$B,adProjChocS2,PrdAdPassifEp!$C:$C,adProjScenario,PrdAdPassifEp!$D:$D,adProjIteration,PrdAdPassifEp!$E:$E,"1.Perf",PrdAdPassifEp!$G:$G,adProjCdCanton)</f>
        <v>0</v>
      </c>
      <c r="AF97" s="38">
        <f>SUMIFS(PrdAdPassifEp!$J:$J,PrdAdPassifEp!$B:$B,adProjChocS2,PrdAdPassifEp!$C:$C,adProjScenario,PrdAdPassifEp!$D:$D,adProjIteration,PrdAdPassifEp!$E:$E,"1.Perf",PrdAdPassifEp!$G:$G,adProjCdCanton)</f>
        <v>0</v>
      </c>
      <c r="AG97" s="38">
        <f>SUMIFS(PrdAdPassifEp!$J:$J,PrdAdPassifEp!$B:$B,adProjChocS2,PrdAdPassifEp!$C:$C,adProjScenario,PrdAdPassifEp!$D:$D,adProjIteration,PrdAdPassifEp!$E:$E,"1.Perf",PrdAdPassifEp!$G:$G,adProjCdCanton)</f>
        <v>0</v>
      </c>
      <c r="AH97" s="38">
        <f>SUMIFS(PrdAdPassifEp!$J:$J,PrdAdPassifEp!$B:$B,adProjChocS2,PrdAdPassifEp!$C:$C,adProjScenario,PrdAdPassifEp!$D:$D,adProjIteration,PrdAdPassifEp!$E:$E,"1.Perf",PrdAdPassifEp!$G:$G,adProjCdCanton)</f>
        <v>0</v>
      </c>
      <c r="AI97" s="38">
        <f>SUMIFS(PrdAdPassifEp!$J:$J,PrdAdPassifEp!$B:$B,adProjChocS2,PrdAdPassifEp!$C:$C,adProjScenario,PrdAdPassifEp!$D:$D,adProjIteration,PrdAdPassifEp!$E:$E,"1.Perf",PrdAdPassifEp!$G:$G,adProjCdCanton)</f>
        <v>0</v>
      </c>
      <c r="AJ97" s="38">
        <f>SUMIFS(PrdAdPassifEp!$J:$J,PrdAdPassifEp!$B:$B,adProjChocS2,PrdAdPassifEp!$C:$C,adProjScenario,PrdAdPassifEp!$D:$D,adProjIteration,PrdAdPassifEp!$E:$E,"1.Perf",PrdAdPassifEp!$G:$G,adProjCdCanton)</f>
        <v>0</v>
      </c>
      <c r="AK97" s="38">
        <f>SUMIFS(PrdAdPassifEp!$J:$J,PrdAdPassifEp!$B:$B,adProjChocS2,PrdAdPassifEp!$C:$C,adProjScenario,PrdAdPassifEp!$D:$D,adProjIteration,PrdAdPassifEp!$E:$E,"1.Perf",PrdAdPassifEp!$G:$G,adProjCdCanton)</f>
        <v>0</v>
      </c>
      <c r="AL97" s="38">
        <f>SUMIFS(PrdAdPassifEp!$J:$J,PrdAdPassifEp!$B:$B,adProjChocS2,PrdAdPassifEp!$C:$C,adProjScenario,PrdAdPassifEp!$D:$D,adProjIteration,PrdAdPassifEp!$E:$E,"1.Perf",PrdAdPassifEp!$G:$G,adProjCdCanton)</f>
        <v>0</v>
      </c>
      <c r="AM97" s="38">
        <f>SUMIFS(PrdAdPassifEp!$J:$J,PrdAdPassifEp!$B:$B,adProjChocS2,PrdAdPassifEp!$C:$C,adProjScenario,PrdAdPassifEp!$D:$D,adProjIteration,PrdAdPassifEp!$E:$E,"1.Perf",PrdAdPassifEp!$G:$G,adProjCdCanton)</f>
        <v>0</v>
      </c>
      <c r="AN97" s="38">
        <f>SUMIFS(PrdAdPassifEp!$J:$J,PrdAdPassifEp!$B:$B,adProjChocS2,PrdAdPassifEp!$C:$C,adProjScenario,PrdAdPassifEp!$D:$D,adProjIteration,PrdAdPassifEp!$E:$E,"1.Perf",PrdAdPassifEp!$G:$G,adProjCdCanton)</f>
        <v>0</v>
      </c>
      <c r="AO97" s="38">
        <f>SUMIFS(PrdAdPassifEp!$J:$J,PrdAdPassifEp!$B:$B,adProjChocS2,PrdAdPassifEp!$C:$C,adProjScenario,PrdAdPassifEp!$D:$D,adProjIteration,PrdAdPassifEp!$E:$E,"1.Perf",PrdAdPassifEp!$G:$G,adProjCdCanton)</f>
        <v>0</v>
      </c>
      <c r="AP97" s="38">
        <f>SUMIFS(PrdAdPassifEp!$J:$J,PrdAdPassifEp!$B:$B,adProjChocS2,PrdAdPassifEp!$C:$C,adProjScenario,PrdAdPassifEp!$D:$D,adProjIteration,PrdAdPassifEp!$E:$E,"1.Perf",PrdAdPassifEp!$G:$G,adProjCdCanton)</f>
        <v>0</v>
      </c>
      <c r="AQ97" s="38">
        <f>SUMIFS(PrdAdPassifEp!$J:$J,PrdAdPassifEp!$B:$B,adProjChocS2,PrdAdPassifEp!$C:$C,adProjScenario,PrdAdPassifEp!$D:$D,adProjIteration,PrdAdPassifEp!$E:$E,"1.Perf",PrdAdPassifEp!$G:$G,adProjCdCanton)</f>
        <v>0</v>
      </c>
      <c r="AR97" s="38">
        <f>SUMIFS(PrdAdPassifEp!$J:$J,PrdAdPassifEp!$B:$B,adProjChocS2,PrdAdPassifEp!$C:$C,adProjScenario,PrdAdPassifEp!$D:$D,adProjIteration,PrdAdPassifEp!$E:$E,"1.Perf",PrdAdPassifEp!$G:$G,adProjCdCanton)</f>
        <v>0</v>
      </c>
      <c r="AS97" s="38">
        <f>SUMIFS(PrdAdPassifEp!$J:$J,PrdAdPassifEp!$B:$B,adProjChocS2,PrdAdPassifEp!$C:$C,adProjScenario,PrdAdPassifEp!$D:$D,adProjIteration,PrdAdPassifEp!$E:$E,"1.Perf",PrdAdPassifEp!$G:$G,adProjCdCanton)</f>
        <v>0</v>
      </c>
      <c r="AT97" s="38">
        <f>SUMIFS(PrdAdPassifEp!$J:$J,PrdAdPassifEp!$B:$B,adProjChocS2,PrdAdPassifEp!$C:$C,adProjScenario,PrdAdPassifEp!$D:$D,adProjIteration,PrdAdPassifEp!$E:$E,"1.Perf",PrdAdPassifEp!$G:$G,adProjCdCanton)</f>
        <v>0</v>
      </c>
      <c r="AU97" s="38">
        <f>SUMIFS(PrdAdPassifEp!$J:$J,PrdAdPassifEp!$B:$B,adProjChocS2,PrdAdPassifEp!$C:$C,adProjScenario,PrdAdPassifEp!$D:$D,adProjIteration,PrdAdPassifEp!$E:$E,"1.Perf",PrdAdPassifEp!$G:$G,adProjCdCanton)</f>
        <v>0</v>
      </c>
      <c r="AV97" s="38">
        <f>SUMIFS(PrdAdPassifEp!$J:$J,PrdAdPassifEp!$B:$B,adProjChocS2,PrdAdPassifEp!$C:$C,adProjScenario,PrdAdPassifEp!$D:$D,adProjIteration,PrdAdPassifEp!$E:$E,"1.Perf",PrdAdPassifEp!$G:$G,adProjCdCanton)</f>
        <v>0</v>
      </c>
      <c r="AW97" s="38">
        <f>SUMIFS(PrdAdPassifEp!$J:$J,PrdAdPassifEp!$B:$B,adProjChocS2,PrdAdPassifEp!$C:$C,adProjScenario,PrdAdPassifEp!$D:$D,adProjIteration,PrdAdPassifEp!$E:$E,"1.Perf",PrdAdPassifEp!$G:$G,adProjCdCanton)</f>
        <v>0</v>
      </c>
      <c r="AX97" s="38">
        <f>SUMIFS(PrdAdPassifEp!$J:$J,PrdAdPassifEp!$B:$B,adProjChocS2,PrdAdPassifEp!$C:$C,adProjScenario,PrdAdPassifEp!$D:$D,adProjIteration,PrdAdPassifEp!$E:$E,"1.Perf",PrdAdPassifEp!$G:$G,adProjCdCanton)</f>
        <v>0</v>
      </c>
      <c r="AY97" s="38">
        <f>SUMIFS(PrdAdPassifEp!$J:$J,PrdAdPassifEp!$B:$B,adProjChocS2,PrdAdPassifEp!$C:$C,adProjScenario,PrdAdPassifEp!$D:$D,adProjIteration,PrdAdPassifEp!$E:$E,"1.Perf",PrdAdPassifEp!$G:$G,adProjCdCanton)</f>
        <v>0</v>
      </c>
      <c r="AZ97" s="38">
        <f>SUMIFS(PrdAdPassifEp!$J:$J,PrdAdPassifEp!$B:$B,adProjChocS2,PrdAdPassifEp!$C:$C,adProjScenario,PrdAdPassifEp!$D:$D,adProjIteration,PrdAdPassifEp!$E:$E,"1.Perf",PrdAdPassifEp!$G:$G,adProjCdCanton)</f>
        <v>0</v>
      </c>
      <c r="BA97" s="38">
        <f>SUMIFS(PrdAdPassifEp!$J:$J,PrdAdPassifEp!$B:$B,adProjChocS2,PrdAdPassifEp!$C:$C,adProjScenario,PrdAdPassifEp!$D:$D,adProjIteration,PrdAdPassifEp!$E:$E,"1.Perf",PrdAdPassifEp!$G:$G,adProjCdCanton)</f>
        <v>0</v>
      </c>
      <c r="BB97" s="38">
        <f>SUMIFS(PrdAdPassifEp!$J:$J,PrdAdPassifEp!$B:$B,adProjChocS2,PrdAdPassifEp!$C:$C,adProjScenario,PrdAdPassifEp!$D:$D,adProjIteration,PrdAdPassifEp!$E:$E,"1.Perf",PrdAdPassifEp!$G:$G,adProjCdCanton)</f>
        <v>0</v>
      </c>
    </row>
    <row r="98" spans="1:54" ht="16.5" x14ac:dyDescent="0.3">
      <c r="A98" s="16"/>
      <c r="B98" s="34"/>
      <c r="C98" s="37" t="s">
        <v>81</v>
      </c>
      <c r="D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E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F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G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H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I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J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K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L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M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N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O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P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Q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R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S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T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U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V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W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X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Y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Z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A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B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C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D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E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F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G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H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I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J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K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L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M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N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O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P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Q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R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S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T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U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V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W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X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Y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AZ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BA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  <c r="BB98" s="38">
        <f>SUMIFS(PrdAdPassifEp!$J:$J,PrdAdPassifEp!$B:$B,adProjChocS2,PrdAdPassifEp!$C:$C,adProjScenario,PrdAdPassifEp!$D:$D,adProjIteration,PrdAdPassifEp!$E:$E,"0.Init",PrdAdPassifEp!$G:$G,adProjCdCanton)+SUMIFS(PrdAdPassifEp!$J:$J,PrdAdPassifEp!$B:$B,adProjChocS2,PrdAdPassifEp!$C:$C,adProjScenario,PrdAdPassifEp!$D:$D,adProjIteration,PrdAdPassifEp!$E:$E,"3.AlmCr",PrdAdPassifEp!$G:$G,adProjCdCanton)</f>
        <v>0</v>
      </c>
    </row>
    <row r="99" spans="1:54" ht="16.5" x14ac:dyDescent="0.3">
      <c r="A99" s="16"/>
      <c r="B99" s="34"/>
      <c r="C99" s="37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</row>
    <row r="100" spans="1:54" ht="16.5" x14ac:dyDescent="0.3">
      <c r="A100" s="16"/>
      <c r="B100" s="34"/>
      <c r="C100" s="39" t="s">
        <v>82</v>
      </c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</row>
    <row r="101" spans="1:54" ht="16.5" x14ac:dyDescent="0.3">
      <c r="A101" s="16"/>
      <c r="B101" s="34"/>
      <c r="C101" s="37" t="s">
        <v>82</v>
      </c>
      <c r="D101" s="38"/>
      <c r="E101" s="38">
        <f>SUMIFS(PrdAdPassifEp!$AJ:$AJ,PrdAdPassifEp!$B:$B,adProjChocS2,PrdAdPassifEp!$C:$C,adProjScenario,PrdAdPassifEp!$D:$D,adProjIteration,PrdAdPassifEp!$E:$E,"1.Perf",PrdAdPassifEp!$G:$G,adProjCdCanton)</f>
        <v>0</v>
      </c>
      <c r="F101" s="38">
        <f>SUMIFS(PrdAdPassifEp!$AJ:$AJ,PrdAdPassifEp!$B:$B,adProjChocS2,PrdAdPassifEp!$C:$C,adProjScenario,PrdAdPassifEp!$D:$D,adProjIteration,PrdAdPassifEp!$E:$E,"1.Perf",PrdAdPassifEp!$G:$G,adProjCdCanton)</f>
        <v>0</v>
      </c>
      <c r="G101" s="38">
        <f>SUMIFS(PrdAdPassifEp!$AJ:$AJ,PrdAdPassifEp!$B:$B,adProjChocS2,PrdAdPassifEp!$C:$C,adProjScenario,PrdAdPassifEp!$D:$D,adProjIteration,PrdAdPassifEp!$E:$E,"1.Perf",PrdAdPassifEp!$G:$G,adProjCdCanton)</f>
        <v>0</v>
      </c>
      <c r="H101" s="38">
        <f>SUMIFS(PrdAdPassifEp!$AJ:$AJ,PrdAdPassifEp!$B:$B,adProjChocS2,PrdAdPassifEp!$C:$C,adProjScenario,PrdAdPassifEp!$D:$D,adProjIteration,PrdAdPassifEp!$E:$E,"1.Perf",PrdAdPassifEp!$G:$G,adProjCdCanton)</f>
        <v>0</v>
      </c>
      <c r="I101" s="38">
        <f>SUMIFS(PrdAdPassifEp!$AJ:$AJ,PrdAdPassifEp!$B:$B,adProjChocS2,PrdAdPassifEp!$C:$C,adProjScenario,PrdAdPassifEp!$D:$D,adProjIteration,PrdAdPassifEp!$E:$E,"1.Perf",PrdAdPassifEp!$G:$G,adProjCdCanton)</f>
        <v>0</v>
      </c>
      <c r="J101" s="38">
        <f>SUMIFS(PrdAdPassifEp!$AJ:$AJ,PrdAdPassifEp!$B:$B,adProjChocS2,PrdAdPassifEp!$C:$C,adProjScenario,PrdAdPassifEp!$D:$D,adProjIteration,PrdAdPassifEp!$E:$E,"1.Perf",PrdAdPassifEp!$G:$G,adProjCdCanton)</f>
        <v>0</v>
      </c>
      <c r="K101" s="38">
        <f>SUMIFS(PrdAdPassifEp!$AJ:$AJ,PrdAdPassifEp!$B:$B,adProjChocS2,PrdAdPassifEp!$C:$C,adProjScenario,PrdAdPassifEp!$D:$D,adProjIteration,PrdAdPassifEp!$E:$E,"1.Perf",PrdAdPassifEp!$G:$G,adProjCdCanton)</f>
        <v>0</v>
      </c>
      <c r="L101" s="38">
        <f>SUMIFS(PrdAdPassifEp!$AJ:$AJ,PrdAdPassifEp!$B:$B,adProjChocS2,PrdAdPassifEp!$C:$C,adProjScenario,PrdAdPassifEp!$D:$D,adProjIteration,PrdAdPassifEp!$E:$E,"1.Perf",PrdAdPassifEp!$G:$G,adProjCdCanton)</f>
        <v>0</v>
      </c>
      <c r="M101" s="38">
        <f>SUMIFS(PrdAdPassifEp!$AJ:$AJ,PrdAdPassifEp!$B:$B,adProjChocS2,PrdAdPassifEp!$C:$C,adProjScenario,PrdAdPassifEp!$D:$D,adProjIteration,PrdAdPassifEp!$E:$E,"1.Perf",PrdAdPassifEp!$G:$G,adProjCdCanton)</f>
        <v>0</v>
      </c>
      <c r="N101" s="38">
        <f>SUMIFS(PrdAdPassifEp!$AJ:$AJ,PrdAdPassifEp!$B:$B,adProjChocS2,PrdAdPassifEp!$C:$C,adProjScenario,PrdAdPassifEp!$D:$D,adProjIteration,PrdAdPassifEp!$E:$E,"1.Perf",PrdAdPassifEp!$G:$G,adProjCdCanton)</f>
        <v>0</v>
      </c>
      <c r="O101" s="38">
        <f>SUMIFS(PrdAdPassifEp!$AJ:$AJ,PrdAdPassifEp!$B:$B,adProjChocS2,PrdAdPassifEp!$C:$C,adProjScenario,PrdAdPassifEp!$D:$D,adProjIteration,PrdAdPassifEp!$E:$E,"1.Perf",PrdAdPassifEp!$G:$G,adProjCdCanton)</f>
        <v>0</v>
      </c>
      <c r="P101" s="38">
        <f>SUMIFS(PrdAdPassifEp!$AJ:$AJ,PrdAdPassifEp!$B:$B,adProjChocS2,PrdAdPassifEp!$C:$C,adProjScenario,PrdAdPassifEp!$D:$D,adProjIteration,PrdAdPassifEp!$E:$E,"1.Perf",PrdAdPassifEp!$G:$G,adProjCdCanton)</f>
        <v>0</v>
      </c>
      <c r="Q101" s="38">
        <f>SUMIFS(PrdAdPassifEp!$AJ:$AJ,PrdAdPassifEp!$B:$B,adProjChocS2,PrdAdPassifEp!$C:$C,adProjScenario,PrdAdPassifEp!$D:$D,adProjIteration,PrdAdPassifEp!$E:$E,"1.Perf",PrdAdPassifEp!$G:$G,adProjCdCanton)</f>
        <v>0</v>
      </c>
      <c r="R101" s="38">
        <f>SUMIFS(PrdAdPassifEp!$AJ:$AJ,PrdAdPassifEp!$B:$B,adProjChocS2,PrdAdPassifEp!$C:$C,adProjScenario,PrdAdPassifEp!$D:$D,adProjIteration,PrdAdPassifEp!$E:$E,"1.Perf",PrdAdPassifEp!$G:$G,adProjCdCanton)</f>
        <v>0</v>
      </c>
      <c r="S101" s="38">
        <f>SUMIFS(PrdAdPassifEp!$AJ:$AJ,PrdAdPassifEp!$B:$B,adProjChocS2,PrdAdPassifEp!$C:$C,adProjScenario,PrdAdPassifEp!$D:$D,adProjIteration,PrdAdPassifEp!$E:$E,"1.Perf",PrdAdPassifEp!$G:$G,adProjCdCanton)</f>
        <v>0</v>
      </c>
      <c r="T101" s="38">
        <f>SUMIFS(PrdAdPassifEp!$AJ:$AJ,PrdAdPassifEp!$B:$B,adProjChocS2,PrdAdPassifEp!$C:$C,adProjScenario,PrdAdPassifEp!$D:$D,adProjIteration,PrdAdPassifEp!$E:$E,"1.Perf",PrdAdPassifEp!$G:$G,adProjCdCanton)</f>
        <v>0</v>
      </c>
      <c r="U101" s="38">
        <f>SUMIFS(PrdAdPassifEp!$AJ:$AJ,PrdAdPassifEp!$B:$B,adProjChocS2,PrdAdPassifEp!$C:$C,adProjScenario,PrdAdPassifEp!$D:$D,adProjIteration,PrdAdPassifEp!$E:$E,"1.Perf",PrdAdPassifEp!$G:$G,adProjCdCanton)</f>
        <v>0</v>
      </c>
      <c r="V101" s="38">
        <f>SUMIFS(PrdAdPassifEp!$AJ:$AJ,PrdAdPassifEp!$B:$B,adProjChocS2,PrdAdPassifEp!$C:$C,adProjScenario,PrdAdPassifEp!$D:$D,adProjIteration,PrdAdPassifEp!$E:$E,"1.Perf",PrdAdPassifEp!$G:$G,adProjCdCanton)</f>
        <v>0</v>
      </c>
      <c r="W101" s="38">
        <f>SUMIFS(PrdAdPassifEp!$AJ:$AJ,PrdAdPassifEp!$B:$B,adProjChocS2,PrdAdPassifEp!$C:$C,adProjScenario,PrdAdPassifEp!$D:$D,adProjIteration,PrdAdPassifEp!$E:$E,"1.Perf",PrdAdPassifEp!$G:$G,adProjCdCanton)</f>
        <v>0</v>
      </c>
      <c r="X101" s="38">
        <f>SUMIFS(PrdAdPassifEp!$AJ:$AJ,PrdAdPassifEp!$B:$B,adProjChocS2,PrdAdPassifEp!$C:$C,adProjScenario,PrdAdPassifEp!$D:$D,adProjIteration,PrdAdPassifEp!$E:$E,"1.Perf",PrdAdPassifEp!$G:$G,adProjCdCanton)</f>
        <v>0</v>
      </c>
      <c r="Y101" s="38">
        <f>SUMIFS(PrdAdPassifEp!$AJ:$AJ,PrdAdPassifEp!$B:$B,adProjChocS2,PrdAdPassifEp!$C:$C,adProjScenario,PrdAdPassifEp!$D:$D,adProjIteration,PrdAdPassifEp!$E:$E,"1.Perf",PrdAdPassifEp!$G:$G,adProjCdCanton)</f>
        <v>0</v>
      </c>
      <c r="Z101" s="38">
        <f>SUMIFS(PrdAdPassifEp!$AJ:$AJ,PrdAdPassifEp!$B:$B,adProjChocS2,PrdAdPassifEp!$C:$C,adProjScenario,PrdAdPassifEp!$D:$D,adProjIteration,PrdAdPassifEp!$E:$E,"1.Perf",PrdAdPassifEp!$G:$G,adProjCdCanton)</f>
        <v>0</v>
      </c>
      <c r="AA101" s="38">
        <f>SUMIFS(PrdAdPassifEp!$AJ:$AJ,PrdAdPassifEp!$B:$B,adProjChocS2,PrdAdPassifEp!$C:$C,adProjScenario,PrdAdPassifEp!$D:$D,adProjIteration,PrdAdPassifEp!$E:$E,"1.Perf",PrdAdPassifEp!$G:$G,adProjCdCanton)</f>
        <v>0</v>
      </c>
      <c r="AB101" s="38">
        <f>SUMIFS(PrdAdPassifEp!$AJ:$AJ,PrdAdPassifEp!$B:$B,adProjChocS2,PrdAdPassifEp!$C:$C,adProjScenario,PrdAdPassifEp!$D:$D,adProjIteration,PrdAdPassifEp!$E:$E,"1.Perf",PrdAdPassifEp!$G:$G,adProjCdCanton)</f>
        <v>0</v>
      </c>
      <c r="AC101" s="38">
        <f>SUMIFS(PrdAdPassifEp!$AJ:$AJ,PrdAdPassifEp!$B:$B,adProjChocS2,PrdAdPassifEp!$C:$C,adProjScenario,PrdAdPassifEp!$D:$D,adProjIteration,PrdAdPassifEp!$E:$E,"1.Perf",PrdAdPassifEp!$G:$G,adProjCdCanton)</f>
        <v>0</v>
      </c>
      <c r="AD101" s="38">
        <f>SUMIFS(PrdAdPassifEp!$AJ:$AJ,PrdAdPassifEp!$B:$B,adProjChocS2,PrdAdPassifEp!$C:$C,adProjScenario,PrdAdPassifEp!$D:$D,adProjIteration,PrdAdPassifEp!$E:$E,"1.Perf",PrdAdPassifEp!$G:$G,adProjCdCanton)</f>
        <v>0</v>
      </c>
      <c r="AE101" s="38">
        <f>SUMIFS(PrdAdPassifEp!$AJ:$AJ,PrdAdPassifEp!$B:$B,adProjChocS2,PrdAdPassifEp!$C:$C,adProjScenario,PrdAdPassifEp!$D:$D,adProjIteration,PrdAdPassifEp!$E:$E,"1.Perf",PrdAdPassifEp!$G:$G,adProjCdCanton)</f>
        <v>0</v>
      </c>
      <c r="AF101" s="38">
        <f>SUMIFS(PrdAdPassifEp!$AJ:$AJ,PrdAdPassifEp!$B:$B,adProjChocS2,PrdAdPassifEp!$C:$C,adProjScenario,PrdAdPassifEp!$D:$D,adProjIteration,PrdAdPassifEp!$E:$E,"1.Perf",PrdAdPassifEp!$G:$G,adProjCdCanton)</f>
        <v>0</v>
      </c>
      <c r="AG101" s="38">
        <f>SUMIFS(PrdAdPassifEp!$AJ:$AJ,PrdAdPassifEp!$B:$B,adProjChocS2,PrdAdPassifEp!$C:$C,adProjScenario,PrdAdPassifEp!$D:$D,adProjIteration,PrdAdPassifEp!$E:$E,"1.Perf",PrdAdPassifEp!$G:$G,adProjCdCanton)</f>
        <v>0</v>
      </c>
      <c r="AH101" s="38">
        <f>SUMIFS(PrdAdPassifEp!$AJ:$AJ,PrdAdPassifEp!$B:$B,adProjChocS2,PrdAdPassifEp!$C:$C,adProjScenario,PrdAdPassifEp!$D:$D,adProjIteration,PrdAdPassifEp!$E:$E,"1.Perf",PrdAdPassifEp!$G:$G,adProjCdCanton)</f>
        <v>0</v>
      </c>
      <c r="AI101" s="38">
        <f>SUMIFS(PrdAdPassifEp!$AJ:$AJ,PrdAdPassifEp!$B:$B,adProjChocS2,PrdAdPassifEp!$C:$C,adProjScenario,PrdAdPassifEp!$D:$D,adProjIteration,PrdAdPassifEp!$E:$E,"1.Perf",PrdAdPassifEp!$G:$G,adProjCdCanton)</f>
        <v>0</v>
      </c>
      <c r="AJ101" s="38">
        <f>SUMIFS(PrdAdPassifEp!$AJ:$AJ,PrdAdPassifEp!$B:$B,adProjChocS2,PrdAdPassifEp!$C:$C,adProjScenario,PrdAdPassifEp!$D:$D,adProjIteration,PrdAdPassifEp!$E:$E,"1.Perf",PrdAdPassifEp!$G:$G,adProjCdCanton)</f>
        <v>0</v>
      </c>
      <c r="AK101" s="38">
        <f>SUMIFS(PrdAdPassifEp!$AJ:$AJ,PrdAdPassifEp!$B:$B,adProjChocS2,PrdAdPassifEp!$C:$C,adProjScenario,PrdAdPassifEp!$D:$D,adProjIteration,PrdAdPassifEp!$E:$E,"1.Perf",PrdAdPassifEp!$G:$G,adProjCdCanton)</f>
        <v>0</v>
      </c>
      <c r="AL101" s="38">
        <f>SUMIFS(PrdAdPassifEp!$AJ:$AJ,PrdAdPassifEp!$B:$B,adProjChocS2,PrdAdPassifEp!$C:$C,adProjScenario,PrdAdPassifEp!$D:$D,adProjIteration,PrdAdPassifEp!$E:$E,"1.Perf",PrdAdPassifEp!$G:$G,adProjCdCanton)</f>
        <v>0</v>
      </c>
      <c r="AM101" s="38">
        <f>SUMIFS(PrdAdPassifEp!$AJ:$AJ,PrdAdPassifEp!$B:$B,adProjChocS2,PrdAdPassifEp!$C:$C,adProjScenario,PrdAdPassifEp!$D:$D,adProjIteration,PrdAdPassifEp!$E:$E,"1.Perf",PrdAdPassifEp!$G:$G,adProjCdCanton)</f>
        <v>0</v>
      </c>
      <c r="AN101" s="38">
        <f>SUMIFS(PrdAdPassifEp!$AJ:$AJ,PrdAdPassifEp!$B:$B,adProjChocS2,PrdAdPassifEp!$C:$C,adProjScenario,PrdAdPassifEp!$D:$D,adProjIteration,PrdAdPassifEp!$E:$E,"1.Perf",PrdAdPassifEp!$G:$G,adProjCdCanton)</f>
        <v>0</v>
      </c>
      <c r="AO101" s="38">
        <f>SUMIFS(PrdAdPassifEp!$AJ:$AJ,PrdAdPassifEp!$B:$B,adProjChocS2,PrdAdPassifEp!$C:$C,adProjScenario,PrdAdPassifEp!$D:$D,adProjIteration,PrdAdPassifEp!$E:$E,"1.Perf",PrdAdPassifEp!$G:$G,adProjCdCanton)</f>
        <v>0</v>
      </c>
      <c r="AP101" s="38">
        <f>SUMIFS(PrdAdPassifEp!$AJ:$AJ,PrdAdPassifEp!$B:$B,adProjChocS2,PrdAdPassifEp!$C:$C,adProjScenario,PrdAdPassifEp!$D:$D,adProjIteration,PrdAdPassifEp!$E:$E,"1.Perf",PrdAdPassifEp!$G:$G,adProjCdCanton)</f>
        <v>0</v>
      </c>
      <c r="AQ101" s="38">
        <f>SUMIFS(PrdAdPassifEp!$AJ:$AJ,PrdAdPassifEp!$B:$B,adProjChocS2,PrdAdPassifEp!$C:$C,adProjScenario,PrdAdPassifEp!$D:$D,adProjIteration,PrdAdPassifEp!$E:$E,"1.Perf",PrdAdPassifEp!$G:$G,adProjCdCanton)</f>
        <v>0</v>
      </c>
      <c r="AR101" s="38">
        <f>SUMIFS(PrdAdPassifEp!$AJ:$AJ,PrdAdPassifEp!$B:$B,adProjChocS2,PrdAdPassifEp!$C:$C,adProjScenario,PrdAdPassifEp!$D:$D,adProjIteration,PrdAdPassifEp!$E:$E,"1.Perf",PrdAdPassifEp!$G:$G,adProjCdCanton)</f>
        <v>0</v>
      </c>
      <c r="AS101" s="38">
        <f>SUMIFS(PrdAdPassifEp!$AJ:$AJ,PrdAdPassifEp!$B:$B,adProjChocS2,PrdAdPassifEp!$C:$C,adProjScenario,PrdAdPassifEp!$D:$D,adProjIteration,PrdAdPassifEp!$E:$E,"1.Perf",PrdAdPassifEp!$G:$G,adProjCdCanton)</f>
        <v>0</v>
      </c>
      <c r="AT101" s="38">
        <f>SUMIFS(PrdAdPassifEp!$AJ:$AJ,PrdAdPassifEp!$B:$B,adProjChocS2,PrdAdPassifEp!$C:$C,adProjScenario,PrdAdPassifEp!$D:$D,adProjIteration,PrdAdPassifEp!$E:$E,"1.Perf",PrdAdPassifEp!$G:$G,adProjCdCanton)</f>
        <v>0</v>
      </c>
      <c r="AU101" s="38">
        <f>SUMIFS(PrdAdPassifEp!$AJ:$AJ,PrdAdPassifEp!$B:$B,adProjChocS2,PrdAdPassifEp!$C:$C,adProjScenario,PrdAdPassifEp!$D:$D,adProjIteration,PrdAdPassifEp!$E:$E,"1.Perf",PrdAdPassifEp!$G:$G,adProjCdCanton)</f>
        <v>0</v>
      </c>
      <c r="AV101" s="38">
        <f>SUMIFS(PrdAdPassifEp!$AJ:$AJ,PrdAdPassifEp!$B:$B,adProjChocS2,PrdAdPassifEp!$C:$C,adProjScenario,PrdAdPassifEp!$D:$D,adProjIteration,PrdAdPassifEp!$E:$E,"1.Perf",PrdAdPassifEp!$G:$G,adProjCdCanton)</f>
        <v>0</v>
      </c>
      <c r="AW101" s="38">
        <f>SUMIFS(PrdAdPassifEp!$AJ:$AJ,PrdAdPassifEp!$B:$B,adProjChocS2,PrdAdPassifEp!$C:$C,adProjScenario,PrdAdPassifEp!$D:$D,adProjIteration,PrdAdPassifEp!$E:$E,"1.Perf",PrdAdPassifEp!$G:$G,adProjCdCanton)</f>
        <v>0</v>
      </c>
      <c r="AX101" s="38">
        <f>SUMIFS(PrdAdPassifEp!$AJ:$AJ,PrdAdPassifEp!$B:$B,adProjChocS2,PrdAdPassifEp!$C:$C,adProjScenario,PrdAdPassifEp!$D:$D,adProjIteration,PrdAdPassifEp!$E:$E,"1.Perf",PrdAdPassifEp!$G:$G,adProjCdCanton)</f>
        <v>0</v>
      </c>
      <c r="AY101" s="38">
        <f>SUMIFS(PrdAdPassifEp!$AJ:$AJ,PrdAdPassifEp!$B:$B,adProjChocS2,PrdAdPassifEp!$C:$C,adProjScenario,PrdAdPassifEp!$D:$D,adProjIteration,PrdAdPassifEp!$E:$E,"1.Perf",PrdAdPassifEp!$G:$G,adProjCdCanton)</f>
        <v>0</v>
      </c>
      <c r="AZ101" s="38">
        <f>SUMIFS(PrdAdPassifEp!$AJ:$AJ,PrdAdPassifEp!$B:$B,adProjChocS2,PrdAdPassifEp!$C:$C,adProjScenario,PrdAdPassifEp!$D:$D,adProjIteration,PrdAdPassifEp!$E:$E,"1.Perf",PrdAdPassifEp!$G:$G,adProjCdCanton)</f>
        <v>0</v>
      </c>
      <c r="BA101" s="38">
        <f>SUMIFS(PrdAdPassifEp!$AJ:$AJ,PrdAdPassifEp!$B:$B,adProjChocS2,PrdAdPassifEp!$C:$C,adProjScenario,PrdAdPassifEp!$D:$D,adProjIteration,PrdAdPassifEp!$E:$E,"1.Perf",PrdAdPassifEp!$G:$G,adProjCdCanton)</f>
        <v>0</v>
      </c>
      <c r="BB101" s="38">
        <f>SUMIFS(PrdAdPassifEp!$AJ:$AJ,PrdAdPassifEp!$B:$B,adProjChocS2,PrdAdPassifEp!$C:$C,adProjScenario,PrdAdPassifEp!$D:$D,adProjIteration,PrdAdPassifEp!$E:$E,"1.Perf",PrdAdPassifEp!$G:$G,adProjCdCanton)</f>
        <v>0</v>
      </c>
    </row>
    <row r="102" spans="1:54" ht="16.5" x14ac:dyDescent="0.3">
      <c r="A102" s="16"/>
      <c r="B102" s="34"/>
      <c r="C102" s="37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</row>
    <row r="103" spans="1:54" ht="16.5" x14ac:dyDescent="0.3">
      <c r="A103" s="16"/>
      <c r="B103" s="34"/>
      <c r="C103" s="39" t="s">
        <v>83</v>
      </c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</row>
    <row r="104" spans="1:54" ht="15.75" customHeight="1" x14ac:dyDescent="0.3">
      <c r="A104" s="16"/>
      <c r="B104" s="34"/>
      <c r="C104" s="37" t="s">
        <v>84</v>
      </c>
      <c r="D104" s="38">
        <f>SUMIFS(PrdAdPassifEp!$AF:$AF,PrdAdPassifEp!$B:$B,adProjChocS2,PrdAdPassifEp!$C:$C,adProjScenario,PrdAdPassifEp!$D:$D,adProjIteration,PrdAdPassifEp!$E:$E,"1.Perf",PrdAdPassifEp!$G:$G,adProjCdCanton)</f>
        <v>0</v>
      </c>
      <c r="E104" s="38">
        <f>SUMIFS(PrdAdPassifEp!$AF:$AF,PrdAdPassifEp!$B:$B,adProjChocS2,PrdAdPassifEp!$C:$C,adProjScenario,PrdAdPassifEp!$D:$D,adProjIteration,PrdAdPassifEp!$E:$E,"1.Perf",PrdAdPassifEp!$G:$G,adProjCdCanton)</f>
        <v>0</v>
      </c>
      <c r="F104" s="38">
        <f>SUMIFS(PrdAdPassifEp!$AF:$AF,PrdAdPassifEp!$B:$B,adProjChocS2,PrdAdPassifEp!$C:$C,adProjScenario,PrdAdPassifEp!$D:$D,adProjIteration,PrdAdPassifEp!$E:$E,"1.Perf",PrdAdPassifEp!$G:$G,adProjCdCanton)</f>
        <v>0</v>
      </c>
      <c r="G104" s="38">
        <f>SUMIFS(PrdAdPassifEp!$AF:$AF,PrdAdPassifEp!$B:$B,adProjChocS2,PrdAdPassifEp!$C:$C,adProjScenario,PrdAdPassifEp!$D:$D,adProjIteration,PrdAdPassifEp!$E:$E,"1.Perf",PrdAdPassifEp!$G:$G,adProjCdCanton)</f>
        <v>0</v>
      </c>
      <c r="H104" s="38">
        <f>SUMIFS(PrdAdPassifEp!$AF:$AF,PrdAdPassifEp!$B:$B,adProjChocS2,PrdAdPassifEp!$C:$C,adProjScenario,PrdAdPassifEp!$D:$D,adProjIteration,PrdAdPassifEp!$E:$E,"1.Perf",PrdAdPassifEp!$G:$G,adProjCdCanton)</f>
        <v>0</v>
      </c>
      <c r="I104" s="38">
        <f>SUMIFS(PrdAdPassifEp!$AF:$AF,PrdAdPassifEp!$B:$B,adProjChocS2,PrdAdPassifEp!$C:$C,adProjScenario,PrdAdPassifEp!$D:$D,adProjIteration,PrdAdPassifEp!$E:$E,"1.Perf",PrdAdPassifEp!$G:$G,adProjCdCanton)</f>
        <v>0</v>
      </c>
      <c r="J104" s="38">
        <f>SUMIFS(PrdAdPassifEp!$AF:$AF,PrdAdPassifEp!$B:$B,adProjChocS2,PrdAdPassifEp!$C:$C,adProjScenario,PrdAdPassifEp!$D:$D,adProjIteration,PrdAdPassifEp!$E:$E,"1.Perf",PrdAdPassifEp!$G:$G,adProjCdCanton)</f>
        <v>0</v>
      </c>
      <c r="K104" s="38">
        <f>SUMIFS(PrdAdPassifEp!$AF:$AF,PrdAdPassifEp!$B:$B,adProjChocS2,PrdAdPassifEp!$C:$C,adProjScenario,PrdAdPassifEp!$D:$D,adProjIteration,PrdAdPassifEp!$E:$E,"1.Perf",PrdAdPassifEp!$G:$G,adProjCdCanton)</f>
        <v>0</v>
      </c>
      <c r="L104" s="38">
        <f>SUMIFS(PrdAdPassifEp!$AF:$AF,PrdAdPassifEp!$B:$B,adProjChocS2,PrdAdPassifEp!$C:$C,adProjScenario,PrdAdPassifEp!$D:$D,adProjIteration,PrdAdPassifEp!$E:$E,"1.Perf",PrdAdPassifEp!$G:$G,adProjCdCanton)</f>
        <v>0</v>
      </c>
      <c r="M104" s="38">
        <f>SUMIFS(PrdAdPassifEp!$AF:$AF,PrdAdPassifEp!$B:$B,adProjChocS2,PrdAdPassifEp!$C:$C,adProjScenario,PrdAdPassifEp!$D:$D,adProjIteration,PrdAdPassifEp!$E:$E,"1.Perf",PrdAdPassifEp!$G:$G,adProjCdCanton)</f>
        <v>0</v>
      </c>
      <c r="N104" s="38">
        <f>SUMIFS(PrdAdPassifEp!$AF:$AF,PrdAdPassifEp!$B:$B,adProjChocS2,PrdAdPassifEp!$C:$C,adProjScenario,PrdAdPassifEp!$D:$D,adProjIteration,PrdAdPassifEp!$E:$E,"1.Perf",PrdAdPassifEp!$G:$G,adProjCdCanton)</f>
        <v>0</v>
      </c>
      <c r="O104" s="38">
        <f>SUMIFS(PrdAdPassifEp!$AF:$AF,PrdAdPassifEp!$B:$B,adProjChocS2,PrdAdPassifEp!$C:$C,adProjScenario,PrdAdPassifEp!$D:$D,adProjIteration,PrdAdPassifEp!$E:$E,"1.Perf",PrdAdPassifEp!$G:$G,adProjCdCanton)</f>
        <v>0</v>
      </c>
      <c r="P104" s="38">
        <f>SUMIFS(PrdAdPassifEp!$AF:$AF,PrdAdPassifEp!$B:$B,adProjChocS2,PrdAdPassifEp!$C:$C,adProjScenario,PrdAdPassifEp!$D:$D,adProjIteration,PrdAdPassifEp!$E:$E,"1.Perf",PrdAdPassifEp!$G:$G,adProjCdCanton)</f>
        <v>0</v>
      </c>
      <c r="Q104" s="38">
        <f>SUMIFS(PrdAdPassifEp!$AF:$AF,PrdAdPassifEp!$B:$B,adProjChocS2,PrdAdPassifEp!$C:$C,adProjScenario,PrdAdPassifEp!$D:$D,adProjIteration,PrdAdPassifEp!$E:$E,"1.Perf",PrdAdPassifEp!$G:$G,adProjCdCanton)</f>
        <v>0</v>
      </c>
      <c r="R104" s="38">
        <f>SUMIFS(PrdAdPassifEp!$AF:$AF,PrdAdPassifEp!$B:$B,adProjChocS2,PrdAdPassifEp!$C:$C,adProjScenario,PrdAdPassifEp!$D:$D,adProjIteration,PrdAdPassifEp!$E:$E,"1.Perf",PrdAdPassifEp!$G:$G,adProjCdCanton)</f>
        <v>0</v>
      </c>
      <c r="S104" s="38">
        <f>SUMIFS(PrdAdPassifEp!$AF:$AF,PrdAdPassifEp!$B:$B,adProjChocS2,PrdAdPassifEp!$C:$C,adProjScenario,PrdAdPassifEp!$D:$D,adProjIteration,PrdAdPassifEp!$E:$E,"1.Perf",PrdAdPassifEp!$G:$G,adProjCdCanton)</f>
        <v>0</v>
      </c>
      <c r="T104" s="38">
        <f>SUMIFS(PrdAdPassifEp!$AF:$AF,PrdAdPassifEp!$B:$B,adProjChocS2,PrdAdPassifEp!$C:$C,adProjScenario,PrdAdPassifEp!$D:$D,adProjIteration,PrdAdPassifEp!$E:$E,"1.Perf",PrdAdPassifEp!$G:$G,adProjCdCanton)</f>
        <v>0</v>
      </c>
      <c r="U104" s="38">
        <f>SUMIFS(PrdAdPassifEp!$AF:$AF,PrdAdPassifEp!$B:$B,adProjChocS2,PrdAdPassifEp!$C:$C,adProjScenario,PrdAdPassifEp!$D:$D,adProjIteration,PrdAdPassifEp!$E:$E,"1.Perf",PrdAdPassifEp!$G:$G,adProjCdCanton)</f>
        <v>0</v>
      </c>
      <c r="V104" s="38">
        <f>SUMIFS(PrdAdPassifEp!$AF:$AF,PrdAdPassifEp!$B:$B,adProjChocS2,PrdAdPassifEp!$C:$C,adProjScenario,PrdAdPassifEp!$D:$D,adProjIteration,PrdAdPassifEp!$E:$E,"1.Perf",PrdAdPassifEp!$G:$G,adProjCdCanton)</f>
        <v>0</v>
      </c>
      <c r="W104" s="38">
        <f>SUMIFS(PrdAdPassifEp!$AF:$AF,PrdAdPassifEp!$B:$B,adProjChocS2,PrdAdPassifEp!$C:$C,adProjScenario,PrdAdPassifEp!$D:$D,adProjIteration,PrdAdPassifEp!$E:$E,"1.Perf",PrdAdPassifEp!$G:$G,adProjCdCanton)</f>
        <v>0</v>
      </c>
      <c r="X104" s="38">
        <f>SUMIFS(PrdAdPassifEp!$AF:$AF,PrdAdPassifEp!$B:$B,adProjChocS2,PrdAdPassifEp!$C:$C,adProjScenario,PrdAdPassifEp!$D:$D,adProjIteration,PrdAdPassifEp!$E:$E,"1.Perf",PrdAdPassifEp!$G:$G,adProjCdCanton)</f>
        <v>0</v>
      </c>
      <c r="Y104" s="38">
        <f>SUMIFS(PrdAdPassifEp!$AF:$AF,PrdAdPassifEp!$B:$B,adProjChocS2,PrdAdPassifEp!$C:$C,adProjScenario,PrdAdPassifEp!$D:$D,adProjIteration,PrdAdPassifEp!$E:$E,"1.Perf",PrdAdPassifEp!$G:$G,adProjCdCanton)</f>
        <v>0</v>
      </c>
      <c r="Z104" s="38">
        <f>SUMIFS(PrdAdPassifEp!$AF:$AF,PrdAdPassifEp!$B:$B,adProjChocS2,PrdAdPassifEp!$C:$C,adProjScenario,PrdAdPassifEp!$D:$D,adProjIteration,PrdAdPassifEp!$E:$E,"1.Perf",PrdAdPassifEp!$G:$G,adProjCdCanton)</f>
        <v>0</v>
      </c>
      <c r="AA104" s="38">
        <f>SUMIFS(PrdAdPassifEp!$AF:$AF,PrdAdPassifEp!$B:$B,adProjChocS2,PrdAdPassifEp!$C:$C,adProjScenario,PrdAdPassifEp!$D:$D,adProjIteration,PrdAdPassifEp!$E:$E,"1.Perf",PrdAdPassifEp!$G:$G,adProjCdCanton)</f>
        <v>0</v>
      </c>
      <c r="AB104" s="38">
        <f>SUMIFS(PrdAdPassifEp!$AF:$AF,PrdAdPassifEp!$B:$B,adProjChocS2,PrdAdPassifEp!$C:$C,adProjScenario,PrdAdPassifEp!$D:$D,adProjIteration,PrdAdPassifEp!$E:$E,"1.Perf",PrdAdPassifEp!$G:$G,adProjCdCanton)</f>
        <v>0</v>
      </c>
      <c r="AC104" s="38">
        <f>SUMIFS(PrdAdPassifEp!$AF:$AF,PrdAdPassifEp!$B:$B,adProjChocS2,PrdAdPassifEp!$C:$C,adProjScenario,PrdAdPassifEp!$D:$D,adProjIteration,PrdAdPassifEp!$E:$E,"1.Perf",PrdAdPassifEp!$G:$G,adProjCdCanton)</f>
        <v>0</v>
      </c>
      <c r="AD104" s="38">
        <f>SUMIFS(PrdAdPassifEp!$AF:$AF,PrdAdPassifEp!$B:$B,adProjChocS2,PrdAdPassifEp!$C:$C,adProjScenario,PrdAdPassifEp!$D:$D,adProjIteration,PrdAdPassifEp!$E:$E,"1.Perf",PrdAdPassifEp!$G:$G,adProjCdCanton)</f>
        <v>0</v>
      </c>
      <c r="AE104" s="38">
        <f>SUMIFS(PrdAdPassifEp!$AF:$AF,PrdAdPassifEp!$B:$B,adProjChocS2,PrdAdPassifEp!$C:$C,adProjScenario,PrdAdPassifEp!$D:$D,adProjIteration,PrdAdPassifEp!$E:$E,"1.Perf",PrdAdPassifEp!$G:$G,adProjCdCanton)</f>
        <v>0</v>
      </c>
      <c r="AF104" s="38">
        <f>SUMIFS(PrdAdPassifEp!$AF:$AF,PrdAdPassifEp!$B:$B,adProjChocS2,PrdAdPassifEp!$C:$C,adProjScenario,PrdAdPassifEp!$D:$D,adProjIteration,PrdAdPassifEp!$E:$E,"1.Perf",PrdAdPassifEp!$G:$G,adProjCdCanton)</f>
        <v>0</v>
      </c>
      <c r="AG104" s="38">
        <f>SUMIFS(PrdAdPassifEp!$AF:$AF,PrdAdPassifEp!$B:$B,adProjChocS2,PrdAdPassifEp!$C:$C,adProjScenario,PrdAdPassifEp!$D:$D,adProjIteration,PrdAdPassifEp!$E:$E,"1.Perf",PrdAdPassifEp!$G:$G,adProjCdCanton)</f>
        <v>0</v>
      </c>
      <c r="AH104" s="38">
        <f>SUMIFS(PrdAdPassifEp!$AF:$AF,PrdAdPassifEp!$B:$B,adProjChocS2,PrdAdPassifEp!$C:$C,adProjScenario,PrdAdPassifEp!$D:$D,adProjIteration,PrdAdPassifEp!$E:$E,"1.Perf",PrdAdPassifEp!$G:$G,adProjCdCanton)</f>
        <v>0</v>
      </c>
      <c r="AI104" s="38">
        <f>SUMIFS(PrdAdPassifEp!$AF:$AF,PrdAdPassifEp!$B:$B,adProjChocS2,PrdAdPassifEp!$C:$C,adProjScenario,PrdAdPassifEp!$D:$D,adProjIteration,PrdAdPassifEp!$E:$E,"1.Perf",PrdAdPassifEp!$G:$G,adProjCdCanton)</f>
        <v>0</v>
      </c>
      <c r="AJ104" s="38">
        <f>SUMIFS(PrdAdPassifEp!$AF:$AF,PrdAdPassifEp!$B:$B,adProjChocS2,PrdAdPassifEp!$C:$C,adProjScenario,PrdAdPassifEp!$D:$D,adProjIteration,PrdAdPassifEp!$E:$E,"1.Perf",PrdAdPassifEp!$G:$G,adProjCdCanton)</f>
        <v>0</v>
      </c>
      <c r="AK104" s="38">
        <f>SUMIFS(PrdAdPassifEp!$AF:$AF,PrdAdPassifEp!$B:$B,adProjChocS2,PrdAdPassifEp!$C:$C,adProjScenario,PrdAdPassifEp!$D:$D,adProjIteration,PrdAdPassifEp!$E:$E,"1.Perf",PrdAdPassifEp!$G:$G,adProjCdCanton)</f>
        <v>0</v>
      </c>
      <c r="AL104" s="38">
        <f>SUMIFS(PrdAdPassifEp!$AF:$AF,PrdAdPassifEp!$B:$B,adProjChocS2,PrdAdPassifEp!$C:$C,adProjScenario,PrdAdPassifEp!$D:$D,adProjIteration,PrdAdPassifEp!$E:$E,"1.Perf",PrdAdPassifEp!$G:$G,adProjCdCanton)</f>
        <v>0</v>
      </c>
      <c r="AM104" s="38">
        <f>SUMIFS(PrdAdPassifEp!$AF:$AF,PrdAdPassifEp!$B:$B,adProjChocS2,PrdAdPassifEp!$C:$C,adProjScenario,PrdAdPassifEp!$D:$D,adProjIteration,PrdAdPassifEp!$E:$E,"1.Perf",PrdAdPassifEp!$G:$G,adProjCdCanton)</f>
        <v>0</v>
      </c>
      <c r="AN104" s="38">
        <f>SUMIFS(PrdAdPassifEp!$AF:$AF,PrdAdPassifEp!$B:$B,adProjChocS2,PrdAdPassifEp!$C:$C,adProjScenario,PrdAdPassifEp!$D:$D,adProjIteration,PrdAdPassifEp!$E:$E,"1.Perf",PrdAdPassifEp!$G:$G,adProjCdCanton)</f>
        <v>0</v>
      </c>
      <c r="AO104" s="38">
        <f>SUMIFS(PrdAdPassifEp!$AF:$AF,PrdAdPassifEp!$B:$B,adProjChocS2,PrdAdPassifEp!$C:$C,adProjScenario,PrdAdPassifEp!$D:$D,adProjIteration,PrdAdPassifEp!$E:$E,"1.Perf",PrdAdPassifEp!$G:$G,adProjCdCanton)</f>
        <v>0</v>
      </c>
      <c r="AP104" s="38">
        <f>SUMIFS(PrdAdPassifEp!$AF:$AF,PrdAdPassifEp!$B:$B,adProjChocS2,PrdAdPassifEp!$C:$C,adProjScenario,PrdAdPassifEp!$D:$D,adProjIteration,PrdAdPassifEp!$E:$E,"1.Perf",PrdAdPassifEp!$G:$G,adProjCdCanton)</f>
        <v>0</v>
      </c>
      <c r="AQ104" s="38">
        <f>SUMIFS(PrdAdPassifEp!$AF:$AF,PrdAdPassifEp!$B:$B,adProjChocS2,PrdAdPassifEp!$C:$C,adProjScenario,PrdAdPassifEp!$D:$D,adProjIteration,PrdAdPassifEp!$E:$E,"1.Perf",PrdAdPassifEp!$G:$G,adProjCdCanton)</f>
        <v>0</v>
      </c>
      <c r="AR104" s="38">
        <f>SUMIFS(PrdAdPassifEp!$AF:$AF,PrdAdPassifEp!$B:$B,adProjChocS2,PrdAdPassifEp!$C:$C,adProjScenario,PrdAdPassifEp!$D:$D,adProjIteration,PrdAdPassifEp!$E:$E,"1.Perf",PrdAdPassifEp!$G:$G,adProjCdCanton)</f>
        <v>0</v>
      </c>
      <c r="AS104" s="38">
        <f>SUMIFS(PrdAdPassifEp!$AF:$AF,PrdAdPassifEp!$B:$B,adProjChocS2,PrdAdPassifEp!$C:$C,adProjScenario,PrdAdPassifEp!$D:$D,adProjIteration,PrdAdPassifEp!$E:$E,"1.Perf",PrdAdPassifEp!$G:$G,adProjCdCanton)</f>
        <v>0</v>
      </c>
      <c r="AT104" s="38">
        <f>SUMIFS(PrdAdPassifEp!$AF:$AF,PrdAdPassifEp!$B:$B,adProjChocS2,PrdAdPassifEp!$C:$C,adProjScenario,PrdAdPassifEp!$D:$D,adProjIteration,PrdAdPassifEp!$E:$E,"1.Perf",PrdAdPassifEp!$G:$G,adProjCdCanton)</f>
        <v>0</v>
      </c>
      <c r="AU104" s="38">
        <f>SUMIFS(PrdAdPassifEp!$AF:$AF,PrdAdPassifEp!$B:$B,adProjChocS2,PrdAdPassifEp!$C:$C,adProjScenario,PrdAdPassifEp!$D:$D,adProjIteration,PrdAdPassifEp!$E:$E,"1.Perf",PrdAdPassifEp!$G:$G,adProjCdCanton)</f>
        <v>0</v>
      </c>
      <c r="AV104" s="38">
        <f>SUMIFS(PrdAdPassifEp!$AF:$AF,PrdAdPassifEp!$B:$B,adProjChocS2,PrdAdPassifEp!$C:$C,adProjScenario,PrdAdPassifEp!$D:$D,adProjIteration,PrdAdPassifEp!$E:$E,"1.Perf",PrdAdPassifEp!$G:$G,adProjCdCanton)</f>
        <v>0</v>
      </c>
      <c r="AW104" s="38">
        <f>SUMIFS(PrdAdPassifEp!$AF:$AF,PrdAdPassifEp!$B:$B,adProjChocS2,PrdAdPassifEp!$C:$C,adProjScenario,PrdAdPassifEp!$D:$D,adProjIteration,PrdAdPassifEp!$E:$E,"1.Perf",PrdAdPassifEp!$G:$G,adProjCdCanton)</f>
        <v>0</v>
      </c>
      <c r="AX104" s="38">
        <f>SUMIFS(PrdAdPassifEp!$AF:$AF,PrdAdPassifEp!$B:$B,adProjChocS2,PrdAdPassifEp!$C:$C,adProjScenario,PrdAdPassifEp!$D:$D,adProjIteration,PrdAdPassifEp!$E:$E,"1.Perf",PrdAdPassifEp!$G:$G,adProjCdCanton)</f>
        <v>0</v>
      </c>
      <c r="AY104" s="38">
        <f>SUMIFS(PrdAdPassifEp!$AF:$AF,PrdAdPassifEp!$B:$B,adProjChocS2,PrdAdPassifEp!$C:$C,adProjScenario,PrdAdPassifEp!$D:$D,adProjIteration,PrdAdPassifEp!$E:$E,"1.Perf",PrdAdPassifEp!$G:$G,adProjCdCanton)</f>
        <v>0</v>
      </c>
      <c r="AZ104" s="38">
        <f>SUMIFS(PrdAdPassifEp!$AF:$AF,PrdAdPassifEp!$B:$B,adProjChocS2,PrdAdPassifEp!$C:$C,adProjScenario,PrdAdPassifEp!$D:$D,adProjIteration,PrdAdPassifEp!$E:$E,"1.Perf",PrdAdPassifEp!$G:$G,adProjCdCanton)</f>
        <v>0</v>
      </c>
      <c r="BA104" s="38">
        <f>SUMIFS(PrdAdPassifEp!$AF:$AF,PrdAdPassifEp!$B:$B,adProjChocS2,PrdAdPassifEp!$C:$C,adProjScenario,PrdAdPassifEp!$D:$D,adProjIteration,PrdAdPassifEp!$E:$E,"1.Perf",PrdAdPassifEp!$G:$G,adProjCdCanton)</f>
        <v>0</v>
      </c>
      <c r="BB104" s="38">
        <f>SUMIFS(PrdAdPassifEp!$AF:$AF,PrdAdPassifEp!$B:$B,adProjChocS2,PrdAdPassifEp!$C:$C,adProjScenario,PrdAdPassifEp!$D:$D,adProjIteration,PrdAdPassifEp!$E:$E,"1.Perf",PrdAdPassifEp!$G:$G,adProjCdCanton)</f>
        <v>0</v>
      </c>
    </row>
    <row r="105" spans="1:54" s="44" customFormat="1" ht="15.75" customHeight="1" x14ac:dyDescent="0.3">
      <c r="A105" s="40"/>
      <c r="B105" s="41"/>
      <c r="C105" s="42" t="s">
        <v>85</v>
      </c>
      <c r="D105" s="43"/>
      <c r="E105" s="43" t="e">
        <f>E104/E96</f>
        <v>#DIV/0!</v>
      </c>
      <c r="F105" s="43" t="e">
        <f t="shared" ref="F105:BB105" si="29">F104/F96</f>
        <v>#DIV/0!</v>
      </c>
      <c r="G105" s="43" t="e">
        <f t="shared" si="29"/>
        <v>#DIV/0!</v>
      </c>
      <c r="H105" s="43" t="e">
        <f t="shared" si="29"/>
        <v>#DIV/0!</v>
      </c>
      <c r="I105" s="43" t="e">
        <f t="shared" si="29"/>
        <v>#DIV/0!</v>
      </c>
      <c r="J105" s="43" t="e">
        <f t="shared" si="29"/>
        <v>#DIV/0!</v>
      </c>
      <c r="K105" s="43" t="e">
        <f t="shared" si="29"/>
        <v>#DIV/0!</v>
      </c>
      <c r="L105" s="43" t="e">
        <f t="shared" si="29"/>
        <v>#DIV/0!</v>
      </c>
      <c r="M105" s="43" t="e">
        <f t="shared" si="29"/>
        <v>#DIV/0!</v>
      </c>
      <c r="N105" s="43" t="e">
        <f t="shared" si="29"/>
        <v>#DIV/0!</v>
      </c>
      <c r="O105" s="43" t="e">
        <f t="shared" si="29"/>
        <v>#DIV/0!</v>
      </c>
      <c r="P105" s="43" t="e">
        <f t="shared" si="29"/>
        <v>#DIV/0!</v>
      </c>
      <c r="Q105" s="43" t="e">
        <f t="shared" si="29"/>
        <v>#DIV/0!</v>
      </c>
      <c r="R105" s="43" t="e">
        <f t="shared" si="29"/>
        <v>#DIV/0!</v>
      </c>
      <c r="S105" s="43" t="e">
        <f t="shared" si="29"/>
        <v>#DIV/0!</v>
      </c>
      <c r="T105" s="43" t="e">
        <f t="shared" si="29"/>
        <v>#DIV/0!</v>
      </c>
      <c r="U105" s="43" t="e">
        <f t="shared" si="29"/>
        <v>#DIV/0!</v>
      </c>
      <c r="V105" s="43" t="e">
        <f t="shared" si="29"/>
        <v>#DIV/0!</v>
      </c>
      <c r="W105" s="43" t="e">
        <f t="shared" si="29"/>
        <v>#DIV/0!</v>
      </c>
      <c r="X105" s="43" t="e">
        <f t="shared" si="29"/>
        <v>#DIV/0!</v>
      </c>
      <c r="Y105" s="43" t="e">
        <f t="shared" si="29"/>
        <v>#DIV/0!</v>
      </c>
      <c r="Z105" s="43" t="e">
        <f t="shared" si="29"/>
        <v>#DIV/0!</v>
      </c>
      <c r="AA105" s="43" t="e">
        <f t="shared" si="29"/>
        <v>#DIV/0!</v>
      </c>
      <c r="AB105" s="43" t="e">
        <f t="shared" si="29"/>
        <v>#DIV/0!</v>
      </c>
      <c r="AC105" s="43" t="e">
        <f t="shared" si="29"/>
        <v>#DIV/0!</v>
      </c>
      <c r="AD105" s="43" t="e">
        <f t="shared" si="29"/>
        <v>#DIV/0!</v>
      </c>
      <c r="AE105" s="43" t="e">
        <f t="shared" si="29"/>
        <v>#DIV/0!</v>
      </c>
      <c r="AF105" s="43" t="e">
        <f t="shared" si="29"/>
        <v>#DIV/0!</v>
      </c>
      <c r="AG105" s="43" t="e">
        <f t="shared" si="29"/>
        <v>#DIV/0!</v>
      </c>
      <c r="AH105" s="43" t="e">
        <f t="shared" si="29"/>
        <v>#DIV/0!</v>
      </c>
      <c r="AI105" s="43" t="e">
        <f t="shared" si="29"/>
        <v>#DIV/0!</v>
      </c>
      <c r="AJ105" s="43" t="e">
        <f t="shared" si="29"/>
        <v>#DIV/0!</v>
      </c>
      <c r="AK105" s="43" t="e">
        <f t="shared" si="29"/>
        <v>#DIV/0!</v>
      </c>
      <c r="AL105" s="43" t="e">
        <f t="shared" si="29"/>
        <v>#DIV/0!</v>
      </c>
      <c r="AM105" s="43" t="e">
        <f t="shared" si="29"/>
        <v>#DIV/0!</v>
      </c>
      <c r="AN105" s="43" t="e">
        <f t="shared" si="29"/>
        <v>#DIV/0!</v>
      </c>
      <c r="AO105" s="43" t="e">
        <f t="shared" si="29"/>
        <v>#DIV/0!</v>
      </c>
      <c r="AP105" s="43" t="e">
        <f t="shared" si="29"/>
        <v>#DIV/0!</v>
      </c>
      <c r="AQ105" s="43" t="e">
        <f t="shared" si="29"/>
        <v>#DIV/0!</v>
      </c>
      <c r="AR105" s="43" t="e">
        <f t="shared" si="29"/>
        <v>#DIV/0!</v>
      </c>
      <c r="AS105" s="43" t="e">
        <f t="shared" si="29"/>
        <v>#DIV/0!</v>
      </c>
      <c r="AT105" s="43" t="e">
        <f t="shared" si="29"/>
        <v>#DIV/0!</v>
      </c>
      <c r="AU105" s="43" t="e">
        <f t="shared" si="29"/>
        <v>#DIV/0!</v>
      </c>
      <c r="AV105" s="43" t="e">
        <f t="shared" si="29"/>
        <v>#DIV/0!</v>
      </c>
      <c r="AW105" s="43" t="e">
        <f t="shared" si="29"/>
        <v>#DIV/0!</v>
      </c>
      <c r="AX105" s="43" t="e">
        <f t="shared" si="29"/>
        <v>#DIV/0!</v>
      </c>
      <c r="AY105" s="43" t="e">
        <f t="shared" si="29"/>
        <v>#DIV/0!</v>
      </c>
      <c r="AZ105" s="43" t="e">
        <f t="shared" si="29"/>
        <v>#DIV/0!</v>
      </c>
      <c r="BA105" s="43" t="e">
        <f t="shared" si="29"/>
        <v>#DIV/0!</v>
      </c>
      <c r="BB105" s="43" t="e">
        <f t="shared" si="29"/>
        <v>#DIV/0!</v>
      </c>
    </row>
    <row r="106" spans="1:54" ht="15.75" customHeight="1" x14ac:dyDescent="0.3">
      <c r="A106" s="16"/>
      <c r="B106" s="34"/>
      <c r="C106" s="37" t="s">
        <v>86</v>
      </c>
      <c r="D106" s="38">
        <f>SUMIFS(PrdAdPassifEp!$Z:$Z,PrdAdPassifEp!$B:$B,adProjChocS2,PrdAdPassifEp!$C:$C,adProjScenario,PrdAdPassifEp!$D:$D,adProjIteration,PrdAdPassifEp!$E:$E,"1.Perf",PrdAdPassifEp!$G:$G,adProjCdCanton)</f>
        <v>0</v>
      </c>
      <c r="E106" s="38">
        <f>SUMIFS(PrdAdPassifEp!$Z:$Z,PrdAdPassifEp!$B:$B,adProjChocS2,PrdAdPassifEp!$C:$C,adProjScenario,PrdAdPassifEp!$D:$D,adProjIteration,PrdAdPassifEp!$E:$E,"1.Perf",PrdAdPassifEp!$G:$G,adProjCdCanton)</f>
        <v>0</v>
      </c>
      <c r="F106" s="38">
        <f>SUMIFS(PrdAdPassifEp!$Z:$Z,PrdAdPassifEp!$B:$B,adProjChocS2,PrdAdPassifEp!$C:$C,adProjScenario,PrdAdPassifEp!$D:$D,adProjIteration,PrdAdPassifEp!$E:$E,"1.Perf",PrdAdPassifEp!$G:$G,adProjCdCanton)</f>
        <v>0</v>
      </c>
      <c r="G106" s="38">
        <f>SUMIFS(PrdAdPassifEp!$Z:$Z,PrdAdPassifEp!$B:$B,adProjChocS2,PrdAdPassifEp!$C:$C,adProjScenario,PrdAdPassifEp!$D:$D,adProjIteration,PrdAdPassifEp!$E:$E,"1.Perf",PrdAdPassifEp!$G:$G,adProjCdCanton)</f>
        <v>0</v>
      </c>
      <c r="H106" s="38">
        <f>SUMIFS(PrdAdPassifEp!$Z:$Z,PrdAdPassifEp!$B:$B,adProjChocS2,PrdAdPassifEp!$C:$C,adProjScenario,PrdAdPassifEp!$D:$D,adProjIteration,PrdAdPassifEp!$E:$E,"1.Perf",PrdAdPassifEp!$G:$G,adProjCdCanton)</f>
        <v>0</v>
      </c>
      <c r="I106" s="38">
        <f>SUMIFS(PrdAdPassifEp!$Z:$Z,PrdAdPassifEp!$B:$B,adProjChocS2,PrdAdPassifEp!$C:$C,adProjScenario,PrdAdPassifEp!$D:$D,adProjIteration,PrdAdPassifEp!$E:$E,"1.Perf",PrdAdPassifEp!$G:$G,adProjCdCanton)</f>
        <v>0</v>
      </c>
      <c r="J106" s="38">
        <f>SUMIFS(PrdAdPassifEp!$Z:$Z,PrdAdPassifEp!$B:$B,adProjChocS2,PrdAdPassifEp!$C:$C,adProjScenario,PrdAdPassifEp!$D:$D,adProjIteration,PrdAdPassifEp!$E:$E,"1.Perf",PrdAdPassifEp!$G:$G,adProjCdCanton)</f>
        <v>0</v>
      </c>
      <c r="K106" s="38">
        <f>SUMIFS(PrdAdPassifEp!$Z:$Z,PrdAdPassifEp!$B:$B,adProjChocS2,PrdAdPassifEp!$C:$C,adProjScenario,PrdAdPassifEp!$D:$D,adProjIteration,PrdAdPassifEp!$E:$E,"1.Perf",PrdAdPassifEp!$G:$G,adProjCdCanton)</f>
        <v>0</v>
      </c>
      <c r="L106" s="38">
        <f>SUMIFS(PrdAdPassifEp!$Z:$Z,PrdAdPassifEp!$B:$B,adProjChocS2,PrdAdPassifEp!$C:$C,adProjScenario,PrdAdPassifEp!$D:$D,adProjIteration,PrdAdPassifEp!$E:$E,"1.Perf",PrdAdPassifEp!$G:$G,adProjCdCanton)</f>
        <v>0</v>
      </c>
      <c r="M106" s="38">
        <f>SUMIFS(PrdAdPassifEp!$Z:$Z,PrdAdPassifEp!$B:$B,adProjChocS2,PrdAdPassifEp!$C:$C,adProjScenario,PrdAdPassifEp!$D:$D,adProjIteration,PrdAdPassifEp!$E:$E,"1.Perf",PrdAdPassifEp!$G:$G,adProjCdCanton)</f>
        <v>0</v>
      </c>
      <c r="N106" s="38">
        <f>SUMIFS(PrdAdPassifEp!$Z:$Z,PrdAdPassifEp!$B:$B,adProjChocS2,PrdAdPassifEp!$C:$C,adProjScenario,PrdAdPassifEp!$D:$D,adProjIteration,PrdAdPassifEp!$E:$E,"1.Perf",PrdAdPassifEp!$G:$G,adProjCdCanton)</f>
        <v>0</v>
      </c>
      <c r="O106" s="38">
        <f>SUMIFS(PrdAdPassifEp!$Z:$Z,PrdAdPassifEp!$B:$B,adProjChocS2,PrdAdPassifEp!$C:$C,adProjScenario,PrdAdPassifEp!$D:$D,adProjIteration,PrdAdPassifEp!$E:$E,"1.Perf",PrdAdPassifEp!$G:$G,adProjCdCanton)</f>
        <v>0</v>
      </c>
      <c r="P106" s="38">
        <f>SUMIFS(PrdAdPassifEp!$Z:$Z,PrdAdPassifEp!$B:$B,adProjChocS2,PrdAdPassifEp!$C:$C,adProjScenario,PrdAdPassifEp!$D:$D,adProjIteration,PrdAdPassifEp!$E:$E,"1.Perf",PrdAdPassifEp!$G:$G,adProjCdCanton)</f>
        <v>0</v>
      </c>
      <c r="Q106" s="38">
        <f>SUMIFS(PrdAdPassifEp!$Z:$Z,PrdAdPassifEp!$B:$B,adProjChocS2,PrdAdPassifEp!$C:$C,adProjScenario,PrdAdPassifEp!$D:$D,adProjIteration,PrdAdPassifEp!$E:$E,"1.Perf",PrdAdPassifEp!$G:$G,adProjCdCanton)</f>
        <v>0</v>
      </c>
      <c r="R106" s="38">
        <f>SUMIFS(PrdAdPassifEp!$Z:$Z,PrdAdPassifEp!$B:$B,adProjChocS2,PrdAdPassifEp!$C:$C,adProjScenario,PrdAdPassifEp!$D:$D,adProjIteration,PrdAdPassifEp!$E:$E,"1.Perf",PrdAdPassifEp!$G:$G,adProjCdCanton)</f>
        <v>0</v>
      </c>
      <c r="S106" s="38">
        <f>SUMIFS(PrdAdPassifEp!$Z:$Z,PrdAdPassifEp!$B:$B,adProjChocS2,PrdAdPassifEp!$C:$C,adProjScenario,PrdAdPassifEp!$D:$D,adProjIteration,PrdAdPassifEp!$E:$E,"1.Perf",PrdAdPassifEp!$G:$G,adProjCdCanton)</f>
        <v>0</v>
      </c>
      <c r="T106" s="38">
        <f>SUMIFS(PrdAdPassifEp!$Z:$Z,PrdAdPassifEp!$B:$B,adProjChocS2,PrdAdPassifEp!$C:$C,adProjScenario,PrdAdPassifEp!$D:$D,adProjIteration,PrdAdPassifEp!$E:$E,"1.Perf",PrdAdPassifEp!$G:$G,adProjCdCanton)</f>
        <v>0</v>
      </c>
      <c r="U106" s="38">
        <f>SUMIFS(PrdAdPassifEp!$Z:$Z,PrdAdPassifEp!$B:$B,adProjChocS2,PrdAdPassifEp!$C:$C,adProjScenario,PrdAdPassifEp!$D:$D,adProjIteration,PrdAdPassifEp!$E:$E,"1.Perf",PrdAdPassifEp!$G:$G,adProjCdCanton)</f>
        <v>0</v>
      </c>
      <c r="V106" s="38">
        <f>SUMIFS(PrdAdPassifEp!$Z:$Z,PrdAdPassifEp!$B:$B,adProjChocS2,PrdAdPassifEp!$C:$C,adProjScenario,PrdAdPassifEp!$D:$D,adProjIteration,PrdAdPassifEp!$E:$E,"1.Perf",PrdAdPassifEp!$G:$G,adProjCdCanton)</f>
        <v>0</v>
      </c>
      <c r="W106" s="38">
        <f>SUMIFS(PrdAdPassifEp!$Z:$Z,PrdAdPassifEp!$B:$B,adProjChocS2,PrdAdPassifEp!$C:$C,adProjScenario,PrdAdPassifEp!$D:$D,adProjIteration,PrdAdPassifEp!$E:$E,"1.Perf",PrdAdPassifEp!$G:$G,adProjCdCanton)</f>
        <v>0</v>
      </c>
      <c r="X106" s="38">
        <f>SUMIFS(PrdAdPassifEp!$Z:$Z,PrdAdPassifEp!$B:$B,adProjChocS2,PrdAdPassifEp!$C:$C,adProjScenario,PrdAdPassifEp!$D:$D,adProjIteration,PrdAdPassifEp!$E:$E,"1.Perf",PrdAdPassifEp!$G:$G,adProjCdCanton)</f>
        <v>0</v>
      </c>
      <c r="Y106" s="38">
        <f>SUMIFS(PrdAdPassifEp!$Z:$Z,PrdAdPassifEp!$B:$B,adProjChocS2,PrdAdPassifEp!$C:$C,adProjScenario,PrdAdPassifEp!$D:$D,adProjIteration,PrdAdPassifEp!$E:$E,"1.Perf",PrdAdPassifEp!$G:$G,adProjCdCanton)</f>
        <v>0</v>
      </c>
      <c r="Z106" s="38">
        <f>SUMIFS(PrdAdPassifEp!$Z:$Z,PrdAdPassifEp!$B:$B,adProjChocS2,PrdAdPassifEp!$C:$C,adProjScenario,PrdAdPassifEp!$D:$D,adProjIteration,PrdAdPassifEp!$E:$E,"1.Perf",PrdAdPassifEp!$G:$G,adProjCdCanton)</f>
        <v>0</v>
      </c>
      <c r="AA106" s="38">
        <f>SUMIFS(PrdAdPassifEp!$Z:$Z,PrdAdPassifEp!$B:$B,adProjChocS2,PrdAdPassifEp!$C:$C,adProjScenario,PrdAdPassifEp!$D:$D,adProjIteration,PrdAdPassifEp!$E:$E,"1.Perf",PrdAdPassifEp!$G:$G,adProjCdCanton)</f>
        <v>0</v>
      </c>
      <c r="AB106" s="38">
        <f>SUMIFS(PrdAdPassifEp!$Z:$Z,PrdAdPassifEp!$B:$B,adProjChocS2,PrdAdPassifEp!$C:$C,adProjScenario,PrdAdPassifEp!$D:$D,adProjIteration,PrdAdPassifEp!$E:$E,"1.Perf",PrdAdPassifEp!$G:$G,adProjCdCanton)</f>
        <v>0</v>
      </c>
      <c r="AC106" s="38">
        <f>SUMIFS(PrdAdPassifEp!$Z:$Z,PrdAdPassifEp!$B:$B,adProjChocS2,PrdAdPassifEp!$C:$C,adProjScenario,PrdAdPassifEp!$D:$D,adProjIteration,PrdAdPassifEp!$E:$E,"1.Perf",PrdAdPassifEp!$G:$G,adProjCdCanton)</f>
        <v>0</v>
      </c>
      <c r="AD106" s="38">
        <f>SUMIFS(PrdAdPassifEp!$Z:$Z,PrdAdPassifEp!$B:$B,adProjChocS2,PrdAdPassifEp!$C:$C,adProjScenario,PrdAdPassifEp!$D:$D,adProjIteration,PrdAdPassifEp!$E:$E,"1.Perf",PrdAdPassifEp!$G:$G,adProjCdCanton)</f>
        <v>0</v>
      </c>
      <c r="AE106" s="38">
        <f>SUMIFS(PrdAdPassifEp!$Z:$Z,PrdAdPassifEp!$B:$B,adProjChocS2,PrdAdPassifEp!$C:$C,adProjScenario,PrdAdPassifEp!$D:$D,adProjIteration,PrdAdPassifEp!$E:$E,"1.Perf",PrdAdPassifEp!$G:$G,adProjCdCanton)</f>
        <v>0</v>
      </c>
      <c r="AF106" s="38">
        <f>SUMIFS(PrdAdPassifEp!$Z:$Z,PrdAdPassifEp!$B:$B,adProjChocS2,PrdAdPassifEp!$C:$C,adProjScenario,PrdAdPassifEp!$D:$D,adProjIteration,PrdAdPassifEp!$E:$E,"1.Perf",PrdAdPassifEp!$G:$G,adProjCdCanton)</f>
        <v>0</v>
      </c>
      <c r="AG106" s="38">
        <f>SUMIFS(PrdAdPassifEp!$Z:$Z,PrdAdPassifEp!$B:$B,adProjChocS2,PrdAdPassifEp!$C:$C,adProjScenario,PrdAdPassifEp!$D:$D,adProjIteration,PrdAdPassifEp!$E:$E,"1.Perf",PrdAdPassifEp!$G:$G,adProjCdCanton)</f>
        <v>0</v>
      </c>
      <c r="AH106" s="38">
        <f>SUMIFS(PrdAdPassifEp!$Z:$Z,PrdAdPassifEp!$B:$B,adProjChocS2,PrdAdPassifEp!$C:$C,adProjScenario,PrdAdPassifEp!$D:$D,adProjIteration,PrdAdPassifEp!$E:$E,"1.Perf",PrdAdPassifEp!$G:$G,adProjCdCanton)</f>
        <v>0</v>
      </c>
      <c r="AI106" s="38">
        <f>SUMIFS(PrdAdPassifEp!$Z:$Z,PrdAdPassifEp!$B:$B,adProjChocS2,PrdAdPassifEp!$C:$C,adProjScenario,PrdAdPassifEp!$D:$D,adProjIteration,PrdAdPassifEp!$E:$E,"1.Perf",PrdAdPassifEp!$G:$G,adProjCdCanton)</f>
        <v>0</v>
      </c>
      <c r="AJ106" s="38">
        <f>SUMIFS(PrdAdPassifEp!$Z:$Z,PrdAdPassifEp!$B:$B,adProjChocS2,PrdAdPassifEp!$C:$C,adProjScenario,PrdAdPassifEp!$D:$D,adProjIteration,PrdAdPassifEp!$E:$E,"1.Perf",PrdAdPassifEp!$G:$G,adProjCdCanton)</f>
        <v>0</v>
      </c>
      <c r="AK106" s="38">
        <f>SUMIFS(PrdAdPassifEp!$Z:$Z,PrdAdPassifEp!$B:$B,adProjChocS2,PrdAdPassifEp!$C:$C,adProjScenario,PrdAdPassifEp!$D:$D,adProjIteration,PrdAdPassifEp!$E:$E,"1.Perf",PrdAdPassifEp!$G:$G,adProjCdCanton)</f>
        <v>0</v>
      </c>
      <c r="AL106" s="38">
        <f>SUMIFS(PrdAdPassifEp!$Z:$Z,PrdAdPassifEp!$B:$B,adProjChocS2,PrdAdPassifEp!$C:$C,adProjScenario,PrdAdPassifEp!$D:$D,adProjIteration,PrdAdPassifEp!$E:$E,"1.Perf",PrdAdPassifEp!$G:$G,adProjCdCanton)</f>
        <v>0</v>
      </c>
      <c r="AM106" s="38">
        <f>SUMIFS(PrdAdPassifEp!$Z:$Z,PrdAdPassifEp!$B:$B,adProjChocS2,PrdAdPassifEp!$C:$C,adProjScenario,PrdAdPassifEp!$D:$D,adProjIteration,PrdAdPassifEp!$E:$E,"1.Perf",PrdAdPassifEp!$G:$G,adProjCdCanton)</f>
        <v>0</v>
      </c>
      <c r="AN106" s="38">
        <f>SUMIFS(PrdAdPassifEp!$Z:$Z,PrdAdPassifEp!$B:$B,adProjChocS2,PrdAdPassifEp!$C:$C,adProjScenario,PrdAdPassifEp!$D:$D,adProjIteration,PrdAdPassifEp!$E:$E,"1.Perf",PrdAdPassifEp!$G:$G,adProjCdCanton)</f>
        <v>0</v>
      </c>
      <c r="AO106" s="38">
        <f>SUMIFS(PrdAdPassifEp!$Z:$Z,PrdAdPassifEp!$B:$B,adProjChocS2,PrdAdPassifEp!$C:$C,adProjScenario,PrdAdPassifEp!$D:$D,adProjIteration,PrdAdPassifEp!$E:$E,"1.Perf",PrdAdPassifEp!$G:$G,adProjCdCanton)</f>
        <v>0</v>
      </c>
      <c r="AP106" s="38">
        <f>SUMIFS(PrdAdPassifEp!$Z:$Z,PrdAdPassifEp!$B:$B,adProjChocS2,PrdAdPassifEp!$C:$C,adProjScenario,PrdAdPassifEp!$D:$D,adProjIteration,PrdAdPassifEp!$E:$E,"1.Perf",PrdAdPassifEp!$G:$G,adProjCdCanton)</f>
        <v>0</v>
      </c>
      <c r="AQ106" s="38">
        <f>SUMIFS(PrdAdPassifEp!$Z:$Z,PrdAdPassifEp!$B:$B,adProjChocS2,PrdAdPassifEp!$C:$C,adProjScenario,PrdAdPassifEp!$D:$D,adProjIteration,PrdAdPassifEp!$E:$E,"1.Perf",PrdAdPassifEp!$G:$G,adProjCdCanton)</f>
        <v>0</v>
      </c>
      <c r="AR106" s="38">
        <f>SUMIFS(PrdAdPassifEp!$Z:$Z,PrdAdPassifEp!$B:$B,adProjChocS2,PrdAdPassifEp!$C:$C,adProjScenario,PrdAdPassifEp!$D:$D,adProjIteration,PrdAdPassifEp!$E:$E,"1.Perf",PrdAdPassifEp!$G:$G,adProjCdCanton)</f>
        <v>0</v>
      </c>
      <c r="AS106" s="38">
        <f>SUMIFS(PrdAdPassifEp!$Z:$Z,PrdAdPassifEp!$B:$B,adProjChocS2,PrdAdPassifEp!$C:$C,adProjScenario,PrdAdPassifEp!$D:$D,adProjIteration,PrdAdPassifEp!$E:$E,"1.Perf",PrdAdPassifEp!$G:$G,adProjCdCanton)</f>
        <v>0</v>
      </c>
      <c r="AT106" s="38">
        <f>SUMIFS(PrdAdPassifEp!$Z:$Z,PrdAdPassifEp!$B:$B,adProjChocS2,PrdAdPassifEp!$C:$C,adProjScenario,PrdAdPassifEp!$D:$D,adProjIteration,PrdAdPassifEp!$E:$E,"1.Perf",PrdAdPassifEp!$G:$G,adProjCdCanton)</f>
        <v>0</v>
      </c>
      <c r="AU106" s="38">
        <f>SUMIFS(PrdAdPassifEp!$Z:$Z,PrdAdPassifEp!$B:$B,adProjChocS2,PrdAdPassifEp!$C:$C,adProjScenario,PrdAdPassifEp!$D:$D,adProjIteration,PrdAdPassifEp!$E:$E,"1.Perf",PrdAdPassifEp!$G:$G,adProjCdCanton)</f>
        <v>0</v>
      </c>
      <c r="AV106" s="38">
        <f>SUMIFS(PrdAdPassifEp!$Z:$Z,PrdAdPassifEp!$B:$B,adProjChocS2,PrdAdPassifEp!$C:$C,adProjScenario,PrdAdPassifEp!$D:$D,adProjIteration,PrdAdPassifEp!$E:$E,"1.Perf",PrdAdPassifEp!$G:$G,adProjCdCanton)</f>
        <v>0</v>
      </c>
      <c r="AW106" s="38">
        <f>SUMIFS(PrdAdPassifEp!$Z:$Z,PrdAdPassifEp!$B:$B,adProjChocS2,PrdAdPassifEp!$C:$C,adProjScenario,PrdAdPassifEp!$D:$D,adProjIteration,PrdAdPassifEp!$E:$E,"1.Perf",PrdAdPassifEp!$G:$G,adProjCdCanton)</f>
        <v>0</v>
      </c>
      <c r="AX106" s="38">
        <f>SUMIFS(PrdAdPassifEp!$Z:$Z,PrdAdPassifEp!$B:$B,adProjChocS2,PrdAdPassifEp!$C:$C,adProjScenario,PrdAdPassifEp!$D:$D,adProjIteration,PrdAdPassifEp!$E:$E,"1.Perf",PrdAdPassifEp!$G:$G,adProjCdCanton)</f>
        <v>0</v>
      </c>
      <c r="AY106" s="38">
        <f>SUMIFS(PrdAdPassifEp!$Z:$Z,PrdAdPassifEp!$B:$B,adProjChocS2,PrdAdPassifEp!$C:$C,adProjScenario,PrdAdPassifEp!$D:$D,adProjIteration,PrdAdPassifEp!$E:$E,"1.Perf",PrdAdPassifEp!$G:$G,adProjCdCanton)</f>
        <v>0</v>
      </c>
      <c r="AZ106" s="38">
        <f>SUMIFS(PrdAdPassifEp!$Z:$Z,PrdAdPassifEp!$B:$B,adProjChocS2,PrdAdPassifEp!$C:$C,adProjScenario,PrdAdPassifEp!$D:$D,adProjIteration,PrdAdPassifEp!$E:$E,"1.Perf",PrdAdPassifEp!$G:$G,adProjCdCanton)</f>
        <v>0</v>
      </c>
      <c r="BA106" s="38">
        <f>SUMIFS(PrdAdPassifEp!$Z:$Z,PrdAdPassifEp!$B:$B,adProjChocS2,PrdAdPassifEp!$C:$C,adProjScenario,PrdAdPassifEp!$D:$D,adProjIteration,PrdAdPassifEp!$E:$E,"1.Perf",PrdAdPassifEp!$G:$G,adProjCdCanton)</f>
        <v>0</v>
      </c>
      <c r="BB106" s="38">
        <f>SUMIFS(PrdAdPassifEp!$Z:$Z,PrdAdPassifEp!$B:$B,adProjChocS2,PrdAdPassifEp!$C:$C,adProjScenario,PrdAdPassifEp!$D:$D,adProjIteration,PrdAdPassifEp!$E:$E,"1.Perf",PrdAdPassifEp!$G:$G,adProjCdCanton)</f>
        <v>0</v>
      </c>
    </row>
    <row r="107" spans="1:54" s="44" customFormat="1" ht="15.75" customHeight="1" x14ac:dyDescent="0.3">
      <c r="A107" s="40"/>
      <c r="B107" s="41"/>
      <c r="C107" s="42" t="s">
        <v>87</v>
      </c>
      <c r="D107" s="43"/>
      <c r="E107" s="43" t="e">
        <f>E106/E96</f>
        <v>#DIV/0!</v>
      </c>
      <c r="F107" s="43" t="e">
        <f t="shared" ref="F107:BB107" si="30">F106/F96</f>
        <v>#DIV/0!</v>
      </c>
      <c r="G107" s="43" t="e">
        <f t="shared" si="30"/>
        <v>#DIV/0!</v>
      </c>
      <c r="H107" s="43" t="e">
        <f t="shared" si="30"/>
        <v>#DIV/0!</v>
      </c>
      <c r="I107" s="43" t="e">
        <f t="shared" si="30"/>
        <v>#DIV/0!</v>
      </c>
      <c r="J107" s="43" t="e">
        <f t="shared" si="30"/>
        <v>#DIV/0!</v>
      </c>
      <c r="K107" s="43" t="e">
        <f t="shared" si="30"/>
        <v>#DIV/0!</v>
      </c>
      <c r="L107" s="43" t="e">
        <f t="shared" si="30"/>
        <v>#DIV/0!</v>
      </c>
      <c r="M107" s="43" t="e">
        <f t="shared" si="30"/>
        <v>#DIV/0!</v>
      </c>
      <c r="N107" s="43" t="e">
        <f t="shared" si="30"/>
        <v>#DIV/0!</v>
      </c>
      <c r="O107" s="43" t="e">
        <f t="shared" si="30"/>
        <v>#DIV/0!</v>
      </c>
      <c r="P107" s="43" t="e">
        <f t="shared" si="30"/>
        <v>#DIV/0!</v>
      </c>
      <c r="Q107" s="43" t="e">
        <f t="shared" si="30"/>
        <v>#DIV/0!</v>
      </c>
      <c r="R107" s="43" t="e">
        <f t="shared" si="30"/>
        <v>#DIV/0!</v>
      </c>
      <c r="S107" s="43" t="e">
        <f t="shared" si="30"/>
        <v>#DIV/0!</v>
      </c>
      <c r="T107" s="43" t="e">
        <f t="shared" si="30"/>
        <v>#DIV/0!</v>
      </c>
      <c r="U107" s="43" t="e">
        <f t="shared" si="30"/>
        <v>#DIV/0!</v>
      </c>
      <c r="V107" s="43" t="e">
        <f t="shared" si="30"/>
        <v>#DIV/0!</v>
      </c>
      <c r="W107" s="43" t="e">
        <f t="shared" si="30"/>
        <v>#DIV/0!</v>
      </c>
      <c r="X107" s="43" t="e">
        <f t="shared" si="30"/>
        <v>#DIV/0!</v>
      </c>
      <c r="Y107" s="43" t="e">
        <f t="shared" si="30"/>
        <v>#DIV/0!</v>
      </c>
      <c r="Z107" s="43" t="e">
        <f t="shared" si="30"/>
        <v>#DIV/0!</v>
      </c>
      <c r="AA107" s="43" t="e">
        <f t="shared" si="30"/>
        <v>#DIV/0!</v>
      </c>
      <c r="AB107" s="43" t="e">
        <f t="shared" si="30"/>
        <v>#DIV/0!</v>
      </c>
      <c r="AC107" s="43" t="e">
        <f t="shared" si="30"/>
        <v>#DIV/0!</v>
      </c>
      <c r="AD107" s="43" t="e">
        <f t="shared" si="30"/>
        <v>#DIV/0!</v>
      </c>
      <c r="AE107" s="43" t="e">
        <f t="shared" si="30"/>
        <v>#DIV/0!</v>
      </c>
      <c r="AF107" s="43" t="e">
        <f t="shared" si="30"/>
        <v>#DIV/0!</v>
      </c>
      <c r="AG107" s="43" t="e">
        <f t="shared" si="30"/>
        <v>#DIV/0!</v>
      </c>
      <c r="AH107" s="43" t="e">
        <f t="shared" si="30"/>
        <v>#DIV/0!</v>
      </c>
      <c r="AI107" s="43" t="e">
        <f t="shared" si="30"/>
        <v>#DIV/0!</v>
      </c>
      <c r="AJ107" s="43" t="e">
        <f t="shared" si="30"/>
        <v>#DIV/0!</v>
      </c>
      <c r="AK107" s="43" t="e">
        <f t="shared" si="30"/>
        <v>#DIV/0!</v>
      </c>
      <c r="AL107" s="43" t="e">
        <f t="shared" si="30"/>
        <v>#DIV/0!</v>
      </c>
      <c r="AM107" s="43" t="e">
        <f t="shared" si="30"/>
        <v>#DIV/0!</v>
      </c>
      <c r="AN107" s="43" t="e">
        <f t="shared" si="30"/>
        <v>#DIV/0!</v>
      </c>
      <c r="AO107" s="43" t="e">
        <f t="shared" si="30"/>
        <v>#DIV/0!</v>
      </c>
      <c r="AP107" s="43" t="e">
        <f t="shared" si="30"/>
        <v>#DIV/0!</v>
      </c>
      <c r="AQ107" s="43" t="e">
        <f t="shared" si="30"/>
        <v>#DIV/0!</v>
      </c>
      <c r="AR107" s="43" t="e">
        <f t="shared" si="30"/>
        <v>#DIV/0!</v>
      </c>
      <c r="AS107" s="43" t="e">
        <f t="shared" si="30"/>
        <v>#DIV/0!</v>
      </c>
      <c r="AT107" s="43" t="e">
        <f t="shared" si="30"/>
        <v>#DIV/0!</v>
      </c>
      <c r="AU107" s="43" t="e">
        <f t="shared" si="30"/>
        <v>#DIV/0!</v>
      </c>
      <c r="AV107" s="43" t="e">
        <f t="shared" si="30"/>
        <v>#DIV/0!</v>
      </c>
      <c r="AW107" s="43" t="e">
        <f t="shared" si="30"/>
        <v>#DIV/0!</v>
      </c>
      <c r="AX107" s="43" t="e">
        <f t="shared" si="30"/>
        <v>#DIV/0!</v>
      </c>
      <c r="AY107" s="43" t="e">
        <f t="shared" si="30"/>
        <v>#DIV/0!</v>
      </c>
      <c r="AZ107" s="43" t="e">
        <f t="shared" si="30"/>
        <v>#DIV/0!</v>
      </c>
      <c r="BA107" s="43" t="e">
        <f t="shared" si="30"/>
        <v>#DIV/0!</v>
      </c>
      <c r="BB107" s="43" t="e">
        <f t="shared" si="30"/>
        <v>#DIV/0!</v>
      </c>
    </row>
    <row r="108" spans="1:54" ht="15.75" customHeight="1" x14ac:dyDescent="0.3">
      <c r="A108" s="16"/>
      <c r="B108" s="34"/>
      <c r="C108" s="37" t="s">
        <v>88</v>
      </c>
      <c r="D108" s="38">
        <f>SUMIFS(PrdAdPassifEp!$AC:$AC,PrdAdPassifEp!$B:$B,adProjChocS2,PrdAdPassifEp!$C:$C,adProjScenario,PrdAdPassifEp!$D:$D,adProjIteration,PrdAdPassifEp!$E:$E,"1.Perf",PrdAdPassifEp!$G:$G,adProjCdCanton)</f>
        <v>0</v>
      </c>
      <c r="E108" s="38">
        <f>SUMIFS(PrdAdPassifEp!$AC:$AC,PrdAdPassifEp!$B:$B,adProjChocS2,PrdAdPassifEp!$C:$C,adProjScenario,PrdAdPassifEp!$D:$D,adProjIteration,PrdAdPassifEp!$E:$E,"1.Perf",PrdAdPassifEp!$G:$G,adProjCdCanton)</f>
        <v>0</v>
      </c>
      <c r="F108" s="38">
        <f>SUMIFS(PrdAdPassifEp!$AC:$AC,PrdAdPassifEp!$B:$B,adProjChocS2,PrdAdPassifEp!$C:$C,adProjScenario,PrdAdPassifEp!$D:$D,adProjIteration,PrdAdPassifEp!$E:$E,"1.Perf",PrdAdPassifEp!$G:$G,adProjCdCanton)</f>
        <v>0</v>
      </c>
      <c r="G108" s="38">
        <f>SUMIFS(PrdAdPassifEp!$AC:$AC,PrdAdPassifEp!$B:$B,adProjChocS2,PrdAdPassifEp!$C:$C,adProjScenario,PrdAdPassifEp!$D:$D,adProjIteration,PrdAdPassifEp!$E:$E,"1.Perf",PrdAdPassifEp!$G:$G,adProjCdCanton)</f>
        <v>0</v>
      </c>
      <c r="H108" s="38">
        <f>SUMIFS(PrdAdPassifEp!$AC:$AC,PrdAdPassifEp!$B:$B,adProjChocS2,PrdAdPassifEp!$C:$C,adProjScenario,PrdAdPassifEp!$D:$D,adProjIteration,PrdAdPassifEp!$E:$E,"1.Perf",PrdAdPassifEp!$G:$G,adProjCdCanton)</f>
        <v>0</v>
      </c>
      <c r="I108" s="38">
        <f>SUMIFS(PrdAdPassifEp!$AC:$AC,PrdAdPassifEp!$B:$B,adProjChocS2,PrdAdPassifEp!$C:$C,adProjScenario,PrdAdPassifEp!$D:$D,adProjIteration,PrdAdPassifEp!$E:$E,"1.Perf",PrdAdPassifEp!$G:$G,adProjCdCanton)</f>
        <v>0</v>
      </c>
      <c r="J108" s="38">
        <f>SUMIFS(PrdAdPassifEp!$AC:$AC,PrdAdPassifEp!$B:$B,adProjChocS2,PrdAdPassifEp!$C:$C,adProjScenario,PrdAdPassifEp!$D:$D,adProjIteration,PrdAdPassifEp!$E:$E,"1.Perf",PrdAdPassifEp!$G:$G,adProjCdCanton)</f>
        <v>0</v>
      </c>
      <c r="K108" s="38">
        <f>SUMIFS(PrdAdPassifEp!$AC:$AC,PrdAdPassifEp!$B:$B,adProjChocS2,PrdAdPassifEp!$C:$C,adProjScenario,PrdAdPassifEp!$D:$D,adProjIteration,PrdAdPassifEp!$E:$E,"1.Perf",PrdAdPassifEp!$G:$G,adProjCdCanton)</f>
        <v>0</v>
      </c>
      <c r="L108" s="38">
        <f>SUMIFS(PrdAdPassifEp!$AC:$AC,PrdAdPassifEp!$B:$B,adProjChocS2,PrdAdPassifEp!$C:$C,adProjScenario,PrdAdPassifEp!$D:$D,adProjIteration,PrdAdPassifEp!$E:$E,"1.Perf",PrdAdPassifEp!$G:$G,adProjCdCanton)</f>
        <v>0</v>
      </c>
      <c r="M108" s="38">
        <f>SUMIFS(PrdAdPassifEp!$AC:$AC,PrdAdPassifEp!$B:$B,adProjChocS2,PrdAdPassifEp!$C:$C,adProjScenario,PrdAdPassifEp!$D:$D,adProjIteration,PrdAdPassifEp!$E:$E,"1.Perf",PrdAdPassifEp!$G:$G,adProjCdCanton)</f>
        <v>0</v>
      </c>
      <c r="N108" s="38">
        <f>SUMIFS(PrdAdPassifEp!$AC:$AC,PrdAdPassifEp!$B:$B,adProjChocS2,PrdAdPassifEp!$C:$C,adProjScenario,PrdAdPassifEp!$D:$D,adProjIteration,PrdAdPassifEp!$E:$E,"1.Perf",PrdAdPassifEp!$G:$G,adProjCdCanton)</f>
        <v>0</v>
      </c>
      <c r="O108" s="38">
        <f>SUMIFS(PrdAdPassifEp!$AC:$AC,PrdAdPassifEp!$B:$B,adProjChocS2,PrdAdPassifEp!$C:$C,adProjScenario,PrdAdPassifEp!$D:$D,adProjIteration,PrdAdPassifEp!$E:$E,"1.Perf",PrdAdPassifEp!$G:$G,adProjCdCanton)</f>
        <v>0</v>
      </c>
      <c r="P108" s="38">
        <f>SUMIFS(PrdAdPassifEp!$AC:$AC,PrdAdPassifEp!$B:$B,adProjChocS2,PrdAdPassifEp!$C:$C,adProjScenario,PrdAdPassifEp!$D:$D,adProjIteration,PrdAdPassifEp!$E:$E,"1.Perf",PrdAdPassifEp!$G:$G,adProjCdCanton)</f>
        <v>0</v>
      </c>
      <c r="Q108" s="38">
        <f>SUMIFS(PrdAdPassifEp!$AC:$AC,PrdAdPassifEp!$B:$B,adProjChocS2,PrdAdPassifEp!$C:$C,adProjScenario,PrdAdPassifEp!$D:$D,adProjIteration,PrdAdPassifEp!$E:$E,"1.Perf",PrdAdPassifEp!$G:$G,adProjCdCanton)</f>
        <v>0</v>
      </c>
      <c r="R108" s="38">
        <f>SUMIFS(PrdAdPassifEp!$AC:$AC,PrdAdPassifEp!$B:$B,adProjChocS2,PrdAdPassifEp!$C:$C,adProjScenario,PrdAdPassifEp!$D:$D,adProjIteration,PrdAdPassifEp!$E:$E,"1.Perf",PrdAdPassifEp!$G:$G,adProjCdCanton)</f>
        <v>0</v>
      </c>
      <c r="S108" s="38">
        <f>SUMIFS(PrdAdPassifEp!$AC:$AC,PrdAdPassifEp!$B:$B,adProjChocS2,PrdAdPassifEp!$C:$C,adProjScenario,PrdAdPassifEp!$D:$D,adProjIteration,PrdAdPassifEp!$E:$E,"1.Perf",PrdAdPassifEp!$G:$G,adProjCdCanton)</f>
        <v>0</v>
      </c>
      <c r="T108" s="38">
        <f>SUMIFS(PrdAdPassifEp!$AC:$AC,PrdAdPassifEp!$B:$B,adProjChocS2,PrdAdPassifEp!$C:$C,adProjScenario,PrdAdPassifEp!$D:$D,adProjIteration,PrdAdPassifEp!$E:$E,"1.Perf",PrdAdPassifEp!$G:$G,adProjCdCanton)</f>
        <v>0</v>
      </c>
      <c r="U108" s="38">
        <f>SUMIFS(PrdAdPassifEp!$AC:$AC,PrdAdPassifEp!$B:$B,adProjChocS2,PrdAdPassifEp!$C:$C,adProjScenario,PrdAdPassifEp!$D:$D,adProjIteration,PrdAdPassifEp!$E:$E,"1.Perf",PrdAdPassifEp!$G:$G,adProjCdCanton)</f>
        <v>0</v>
      </c>
      <c r="V108" s="38">
        <f>SUMIFS(PrdAdPassifEp!$AC:$AC,PrdAdPassifEp!$B:$B,adProjChocS2,PrdAdPassifEp!$C:$C,adProjScenario,PrdAdPassifEp!$D:$D,adProjIteration,PrdAdPassifEp!$E:$E,"1.Perf",PrdAdPassifEp!$G:$G,adProjCdCanton)</f>
        <v>0</v>
      </c>
      <c r="W108" s="38">
        <f>SUMIFS(PrdAdPassifEp!$AC:$AC,PrdAdPassifEp!$B:$B,adProjChocS2,PrdAdPassifEp!$C:$C,adProjScenario,PrdAdPassifEp!$D:$D,adProjIteration,PrdAdPassifEp!$E:$E,"1.Perf",PrdAdPassifEp!$G:$G,adProjCdCanton)</f>
        <v>0</v>
      </c>
      <c r="X108" s="38">
        <f>SUMIFS(PrdAdPassifEp!$AC:$AC,PrdAdPassifEp!$B:$B,adProjChocS2,PrdAdPassifEp!$C:$C,adProjScenario,PrdAdPassifEp!$D:$D,adProjIteration,PrdAdPassifEp!$E:$E,"1.Perf",PrdAdPassifEp!$G:$G,adProjCdCanton)</f>
        <v>0</v>
      </c>
      <c r="Y108" s="38">
        <f>SUMIFS(PrdAdPassifEp!$AC:$AC,PrdAdPassifEp!$B:$B,adProjChocS2,PrdAdPassifEp!$C:$C,adProjScenario,PrdAdPassifEp!$D:$D,adProjIteration,PrdAdPassifEp!$E:$E,"1.Perf",PrdAdPassifEp!$G:$G,adProjCdCanton)</f>
        <v>0</v>
      </c>
      <c r="Z108" s="38">
        <f>SUMIFS(PrdAdPassifEp!$AC:$AC,PrdAdPassifEp!$B:$B,adProjChocS2,PrdAdPassifEp!$C:$C,adProjScenario,PrdAdPassifEp!$D:$D,adProjIteration,PrdAdPassifEp!$E:$E,"1.Perf",PrdAdPassifEp!$G:$G,adProjCdCanton)</f>
        <v>0</v>
      </c>
      <c r="AA108" s="38">
        <f>SUMIFS(PrdAdPassifEp!$AC:$AC,PrdAdPassifEp!$B:$B,adProjChocS2,PrdAdPassifEp!$C:$C,adProjScenario,PrdAdPassifEp!$D:$D,adProjIteration,PrdAdPassifEp!$E:$E,"1.Perf",PrdAdPassifEp!$G:$G,adProjCdCanton)</f>
        <v>0</v>
      </c>
      <c r="AB108" s="38">
        <f>SUMIFS(PrdAdPassifEp!$AC:$AC,PrdAdPassifEp!$B:$B,adProjChocS2,PrdAdPassifEp!$C:$C,adProjScenario,PrdAdPassifEp!$D:$D,adProjIteration,PrdAdPassifEp!$E:$E,"1.Perf",PrdAdPassifEp!$G:$G,adProjCdCanton)</f>
        <v>0</v>
      </c>
      <c r="AC108" s="38">
        <f>SUMIFS(PrdAdPassifEp!$AC:$AC,PrdAdPassifEp!$B:$B,adProjChocS2,PrdAdPassifEp!$C:$C,adProjScenario,PrdAdPassifEp!$D:$D,adProjIteration,PrdAdPassifEp!$E:$E,"1.Perf",PrdAdPassifEp!$G:$G,adProjCdCanton)</f>
        <v>0</v>
      </c>
      <c r="AD108" s="38">
        <f>SUMIFS(PrdAdPassifEp!$AC:$AC,PrdAdPassifEp!$B:$B,adProjChocS2,PrdAdPassifEp!$C:$C,adProjScenario,PrdAdPassifEp!$D:$D,adProjIteration,PrdAdPassifEp!$E:$E,"1.Perf",PrdAdPassifEp!$G:$G,adProjCdCanton)</f>
        <v>0</v>
      </c>
      <c r="AE108" s="38">
        <f>SUMIFS(PrdAdPassifEp!$AC:$AC,PrdAdPassifEp!$B:$B,adProjChocS2,PrdAdPassifEp!$C:$C,adProjScenario,PrdAdPassifEp!$D:$D,adProjIteration,PrdAdPassifEp!$E:$E,"1.Perf",PrdAdPassifEp!$G:$G,adProjCdCanton)</f>
        <v>0</v>
      </c>
      <c r="AF108" s="38">
        <f>SUMIFS(PrdAdPassifEp!$AC:$AC,PrdAdPassifEp!$B:$B,adProjChocS2,PrdAdPassifEp!$C:$C,adProjScenario,PrdAdPassifEp!$D:$D,adProjIteration,PrdAdPassifEp!$E:$E,"1.Perf",PrdAdPassifEp!$G:$G,adProjCdCanton)</f>
        <v>0</v>
      </c>
      <c r="AG108" s="38">
        <f>SUMIFS(PrdAdPassifEp!$AC:$AC,PrdAdPassifEp!$B:$B,adProjChocS2,PrdAdPassifEp!$C:$C,adProjScenario,PrdAdPassifEp!$D:$D,adProjIteration,PrdAdPassifEp!$E:$E,"1.Perf",PrdAdPassifEp!$G:$G,adProjCdCanton)</f>
        <v>0</v>
      </c>
      <c r="AH108" s="38">
        <f>SUMIFS(PrdAdPassifEp!$AC:$AC,PrdAdPassifEp!$B:$B,adProjChocS2,PrdAdPassifEp!$C:$C,adProjScenario,PrdAdPassifEp!$D:$D,adProjIteration,PrdAdPassifEp!$E:$E,"1.Perf",PrdAdPassifEp!$G:$G,adProjCdCanton)</f>
        <v>0</v>
      </c>
      <c r="AI108" s="38">
        <f>SUMIFS(PrdAdPassifEp!$AC:$AC,PrdAdPassifEp!$B:$B,adProjChocS2,PrdAdPassifEp!$C:$C,adProjScenario,PrdAdPassifEp!$D:$D,adProjIteration,PrdAdPassifEp!$E:$E,"1.Perf",PrdAdPassifEp!$G:$G,adProjCdCanton)</f>
        <v>0</v>
      </c>
      <c r="AJ108" s="38">
        <f>SUMIFS(PrdAdPassifEp!$AC:$AC,PrdAdPassifEp!$B:$B,adProjChocS2,PrdAdPassifEp!$C:$C,adProjScenario,PrdAdPassifEp!$D:$D,adProjIteration,PrdAdPassifEp!$E:$E,"1.Perf",PrdAdPassifEp!$G:$G,adProjCdCanton)</f>
        <v>0</v>
      </c>
      <c r="AK108" s="38">
        <f>SUMIFS(PrdAdPassifEp!$AC:$AC,PrdAdPassifEp!$B:$B,adProjChocS2,PrdAdPassifEp!$C:$C,adProjScenario,PrdAdPassifEp!$D:$D,adProjIteration,PrdAdPassifEp!$E:$E,"1.Perf",PrdAdPassifEp!$G:$G,adProjCdCanton)</f>
        <v>0</v>
      </c>
      <c r="AL108" s="38">
        <f>SUMIFS(PrdAdPassifEp!$AC:$AC,PrdAdPassifEp!$B:$B,adProjChocS2,PrdAdPassifEp!$C:$C,adProjScenario,PrdAdPassifEp!$D:$D,adProjIteration,PrdAdPassifEp!$E:$E,"1.Perf",PrdAdPassifEp!$G:$G,adProjCdCanton)</f>
        <v>0</v>
      </c>
      <c r="AM108" s="38">
        <f>SUMIFS(PrdAdPassifEp!$AC:$AC,PrdAdPassifEp!$B:$B,adProjChocS2,PrdAdPassifEp!$C:$C,adProjScenario,PrdAdPassifEp!$D:$D,adProjIteration,PrdAdPassifEp!$E:$E,"1.Perf",PrdAdPassifEp!$G:$G,adProjCdCanton)</f>
        <v>0</v>
      </c>
      <c r="AN108" s="38">
        <f>SUMIFS(PrdAdPassifEp!$AC:$AC,PrdAdPassifEp!$B:$B,adProjChocS2,PrdAdPassifEp!$C:$C,adProjScenario,PrdAdPassifEp!$D:$D,adProjIteration,PrdAdPassifEp!$E:$E,"1.Perf",PrdAdPassifEp!$G:$G,adProjCdCanton)</f>
        <v>0</v>
      </c>
      <c r="AO108" s="38">
        <f>SUMIFS(PrdAdPassifEp!$AC:$AC,PrdAdPassifEp!$B:$B,adProjChocS2,PrdAdPassifEp!$C:$C,adProjScenario,PrdAdPassifEp!$D:$D,adProjIteration,PrdAdPassifEp!$E:$E,"1.Perf",PrdAdPassifEp!$G:$G,adProjCdCanton)</f>
        <v>0</v>
      </c>
      <c r="AP108" s="38">
        <f>SUMIFS(PrdAdPassifEp!$AC:$AC,PrdAdPassifEp!$B:$B,adProjChocS2,PrdAdPassifEp!$C:$C,adProjScenario,PrdAdPassifEp!$D:$D,adProjIteration,PrdAdPassifEp!$E:$E,"1.Perf",PrdAdPassifEp!$G:$G,adProjCdCanton)</f>
        <v>0</v>
      </c>
      <c r="AQ108" s="38">
        <f>SUMIFS(PrdAdPassifEp!$AC:$AC,PrdAdPassifEp!$B:$B,adProjChocS2,PrdAdPassifEp!$C:$C,adProjScenario,PrdAdPassifEp!$D:$D,adProjIteration,PrdAdPassifEp!$E:$E,"1.Perf",PrdAdPassifEp!$G:$G,adProjCdCanton)</f>
        <v>0</v>
      </c>
      <c r="AR108" s="38">
        <f>SUMIFS(PrdAdPassifEp!$AC:$AC,PrdAdPassifEp!$B:$B,adProjChocS2,PrdAdPassifEp!$C:$C,adProjScenario,PrdAdPassifEp!$D:$D,adProjIteration,PrdAdPassifEp!$E:$E,"1.Perf",PrdAdPassifEp!$G:$G,adProjCdCanton)</f>
        <v>0</v>
      </c>
      <c r="AS108" s="38">
        <f>SUMIFS(PrdAdPassifEp!$AC:$AC,PrdAdPassifEp!$B:$B,adProjChocS2,PrdAdPassifEp!$C:$C,adProjScenario,PrdAdPassifEp!$D:$D,adProjIteration,PrdAdPassifEp!$E:$E,"1.Perf",PrdAdPassifEp!$G:$G,adProjCdCanton)</f>
        <v>0</v>
      </c>
      <c r="AT108" s="38">
        <f>SUMIFS(PrdAdPassifEp!$AC:$AC,PrdAdPassifEp!$B:$B,adProjChocS2,PrdAdPassifEp!$C:$C,adProjScenario,PrdAdPassifEp!$D:$D,adProjIteration,PrdAdPassifEp!$E:$E,"1.Perf",PrdAdPassifEp!$G:$G,adProjCdCanton)</f>
        <v>0</v>
      </c>
      <c r="AU108" s="38">
        <f>SUMIFS(PrdAdPassifEp!$AC:$AC,PrdAdPassifEp!$B:$B,adProjChocS2,PrdAdPassifEp!$C:$C,adProjScenario,PrdAdPassifEp!$D:$D,adProjIteration,PrdAdPassifEp!$E:$E,"1.Perf",PrdAdPassifEp!$G:$G,adProjCdCanton)</f>
        <v>0</v>
      </c>
      <c r="AV108" s="38">
        <f>SUMIFS(PrdAdPassifEp!$AC:$AC,PrdAdPassifEp!$B:$B,adProjChocS2,PrdAdPassifEp!$C:$C,adProjScenario,PrdAdPassifEp!$D:$D,adProjIteration,PrdAdPassifEp!$E:$E,"1.Perf",PrdAdPassifEp!$G:$G,adProjCdCanton)</f>
        <v>0</v>
      </c>
      <c r="AW108" s="38">
        <f>SUMIFS(PrdAdPassifEp!$AC:$AC,PrdAdPassifEp!$B:$B,adProjChocS2,PrdAdPassifEp!$C:$C,adProjScenario,PrdAdPassifEp!$D:$D,adProjIteration,PrdAdPassifEp!$E:$E,"1.Perf",PrdAdPassifEp!$G:$G,adProjCdCanton)</f>
        <v>0</v>
      </c>
      <c r="AX108" s="38">
        <f>SUMIFS(PrdAdPassifEp!$AC:$AC,PrdAdPassifEp!$B:$B,adProjChocS2,PrdAdPassifEp!$C:$C,adProjScenario,PrdAdPassifEp!$D:$D,adProjIteration,PrdAdPassifEp!$E:$E,"1.Perf",PrdAdPassifEp!$G:$G,adProjCdCanton)</f>
        <v>0</v>
      </c>
      <c r="AY108" s="38">
        <f>SUMIFS(PrdAdPassifEp!$AC:$AC,PrdAdPassifEp!$B:$B,adProjChocS2,PrdAdPassifEp!$C:$C,adProjScenario,PrdAdPassifEp!$D:$D,adProjIteration,PrdAdPassifEp!$E:$E,"1.Perf",PrdAdPassifEp!$G:$G,adProjCdCanton)</f>
        <v>0</v>
      </c>
      <c r="AZ108" s="38">
        <f>SUMIFS(PrdAdPassifEp!$AC:$AC,PrdAdPassifEp!$B:$B,adProjChocS2,PrdAdPassifEp!$C:$C,adProjScenario,PrdAdPassifEp!$D:$D,adProjIteration,PrdAdPassifEp!$E:$E,"1.Perf",PrdAdPassifEp!$G:$G,adProjCdCanton)</f>
        <v>0</v>
      </c>
      <c r="BA108" s="38">
        <f>SUMIFS(PrdAdPassifEp!$AC:$AC,PrdAdPassifEp!$B:$B,adProjChocS2,PrdAdPassifEp!$C:$C,adProjScenario,PrdAdPassifEp!$D:$D,adProjIteration,PrdAdPassifEp!$E:$E,"1.Perf",PrdAdPassifEp!$G:$G,adProjCdCanton)</f>
        <v>0</v>
      </c>
      <c r="BB108" s="38">
        <f>SUMIFS(PrdAdPassifEp!$AC:$AC,PrdAdPassifEp!$B:$B,adProjChocS2,PrdAdPassifEp!$C:$C,adProjScenario,PrdAdPassifEp!$D:$D,adProjIteration,PrdAdPassifEp!$E:$E,"1.Perf",PrdAdPassifEp!$G:$G,adProjCdCanton)</f>
        <v>0</v>
      </c>
    </row>
    <row r="109" spans="1:54" s="44" customFormat="1" ht="15.75" customHeight="1" x14ac:dyDescent="0.3">
      <c r="A109" s="40"/>
      <c r="B109" s="41"/>
      <c r="C109" s="42" t="s">
        <v>89</v>
      </c>
      <c r="D109" s="43"/>
      <c r="E109" s="43" t="e">
        <f>E108/E96</f>
        <v>#DIV/0!</v>
      </c>
      <c r="F109" s="43" t="e">
        <f t="shared" ref="F109:BB109" si="31">F108/F96</f>
        <v>#DIV/0!</v>
      </c>
      <c r="G109" s="43" t="e">
        <f t="shared" si="31"/>
        <v>#DIV/0!</v>
      </c>
      <c r="H109" s="43" t="e">
        <f t="shared" si="31"/>
        <v>#DIV/0!</v>
      </c>
      <c r="I109" s="43" t="e">
        <f t="shared" si="31"/>
        <v>#DIV/0!</v>
      </c>
      <c r="J109" s="43" t="e">
        <f t="shared" si="31"/>
        <v>#DIV/0!</v>
      </c>
      <c r="K109" s="43" t="e">
        <f t="shared" si="31"/>
        <v>#DIV/0!</v>
      </c>
      <c r="L109" s="43" t="e">
        <f t="shared" si="31"/>
        <v>#DIV/0!</v>
      </c>
      <c r="M109" s="43" t="e">
        <f t="shared" si="31"/>
        <v>#DIV/0!</v>
      </c>
      <c r="N109" s="43" t="e">
        <f t="shared" si="31"/>
        <v>#DIV/0!</v>
      </c>
      <c r="O109" s="43" t="e">
        <f t="shared" si="31"/>
        <v>#DIV/0!</v>
      </c>
      <c r="P109" s="43" t="e">
        <f t="shared" si="31"/>
        <v>#DIV/0!</v>
      </c>
      <c r="Q109" s="43" t="e">
        <f t="shared" si="31"/>
        <v>#DIV/0!</v>
      </c>
      <c r="R109" s="43" t="e">
        <f t="shared" si="31"/>
        <v>#DIV/0!</v>
      </c>
      <c r="S109" s="43" t="e">
        <f t="shared" si="31"/>
        <v>#DIV/0!</v>
      </c>
      <c r="T109" s="43" t="e">
        <f t="shared" si="31"/>
        <v>#DIV/0!</v>
      </c>
      <c r="U109" s="43" t="e">
        <f t="shared" si="31"/>
        <v>#DIV/0!</v>
      </c>
      <c r="V109" s="43" t="e">
        <f t="shared" si="31"/>
        <v>#DIV/0!</v>
      </c>
      <c r="W109" s="43" t="e">
        <f t="shared" si="31"/>
        <v>#DIV/0!</v>
      </c>
      <c r="X109" s="43" t="e">
        <f t="shared" si="31"/>
        <v>#DIV/0!</v>
      </c>
      <c r="Y109" s="43" t="e">
        <f t="shared" si="31"/>
        <v>#DIV/0!</v>
      </c>
      <c r="Z109" s="43" t="e">
        <f t="shared" si="31"/>
        <v>#DIV/0!</v>
      </c>
      <c r="AA109" s="43" t="e">
        <f t="shared" si="31"/>
        <v>#DIV/0!</v>
      </c>
      <c r="AB109" s="43" t="e">
        <f t="shared" si="31"/>
        <v>#DIV/0!</v>
      </c>
      <c r="AC109" s="43" t="e">
        <f t="shared" si="31"/>
        <v>#DIV/0!</v>
      </c>
      <c r="AD109" s="43" t="e">
        <f t="shared" si="31"/>
        <v>#DIV/0!</v>
      </c>
      <c r="AE109" s="43" t="e">
        <f t="shared" si="31"/>
        <v>#DIV/0!</v>
      </c>
      <c r="AF109" s="43" t="e">
        <f t="shared" si="31"/>
        <v>#DIV/0!</v>
      </c>
      <c r="AG109" s="43" t="e">
        <f t="shared" si="31"/>
        <v>#DIV/0!</v>
      </c>
      <c r="AH109" s="43" t="e">
        <f t="shared" si="31"/>
        <v>#DIV/0!</v>
      </c>
      <c r="AI109" s="43" t="e">
        <f t="shared" si="31"/>
        <v>#DIV/0!</v>
      </c>
      <c r="AJ109" s="43" t="e">
        <f t="shared" si="31"/>
        <v>#DIV/0!</v>
      </c>
      <c r="AK109" s="43" t="e">
        <f t="shared" si="31"/>
        <v>#DIV/0!</v>
      </c>
      <c r="AL109" s="43" t="e">
        <f t="shared" si="31"/>
        <v>#DIV/0!</v>
      </c>
      <c r="AM109" s="43" t="e">
        <f t="shared" si="31"/>
        <v>#DIV/0!</v>
      </c>
      <c r="AN109" s="43" t="e">
        <f t="shared" si="31"/>
        <v>#DIV/0!</v>
      </c>
      <c r="AO109" s="43" t="e">
        <f t="shared" si="31"/>
        <v>#DIV/0!</v>
      </c>
      <c r="AP109" s="43" t="e">
        <f t="shared" si="31"/>
        <v>#DIV/0!</v>
      </c>
      <c r="AQ109" s="43" t="e">
        <f t="shared" si="31"/>
        <v>#DIV/0!</v>
      </c>
      <c r="AR109" s="43" t="e">
        <f t="shared" si="31"/>
        <v>#DIV/0!</v>
      </c>
      <c r="AS109" s="43" t="e">
        <f t="shared" si="31"/>
        <v>#DIV/0!</v>
      </c>
      <c r="AT109" s="43" t="e">
        <f t="shared" si="31"/>
        <v>#DIV/0!</v>
      </c>
      <c r="AU109" s="43" t="e">
        <f t="shared" si="31"/>
        <v>#DIV/0!</v>
      </c>
      <c r="AV109" s="43" t="e">
        <f t="shared" si="31"/>
        <v>#DIV/0!</v>
      </c>
      <c r="AW109" s="43" t="e">
        <f t="shared" si="31"/>
        <v>#DIV/0!</v>
      </c>
      <c r="AX109" s="43" t="e">
        <f t="shared" si="31"/>
        <v>#DIV/0!</v>
      </c>
      <c r="AY109" s="43" t="e">
        <f t="shared" si="31"/>
        <v>#DIV/0!</v>
      </c>
      <c r="AZ109" s="43" t="e">
        <f t="shared" si="31"/>
        <v>#DIV/0!</v>
      </c>
      <c r="BA109" s="43" t="e">
        <f t="shared" si="31"/>
        <v>#DIV/0!</v>
      </c>
      <c r="BB109" s="43" t="e">
        <f t="shared" si="31"/>
        <v>#DIV/0!</v>
      </c>
    </row>
    <row r="110" spans="1:54" ht="15.75" customHeight="1" x14ac:dyDescent="0.3">
      <c r="A110" s="16"/>
      <c r="B110" s="34"/>
      <c r="C110" s="37" t="s">
        <v>90</v>
      </c>
      <c r="D110" s="38">
        <f>SUMIFS(PrdAdPassifEp!$W:$W,PrdAdPassifEp!$B:$B,adProjChocS2,PrdAdPassifEp!$C:$C,adProjScenario,PrdAdPassifEp!$D:$D,adProjIteration,PrdAdPassifEp!$E:$E,"1.Perf",PrdAdPassifEp!$G:$G,adProjCdCanton)</f>
        <v>0</v>
      </c>
      <c r="E110" s="38">
        <f>SUMIFS(PrdAdPassifEp!$W:$W,PrdAdPassifEp!$B:$B,adProjChocS2,PrdAdPassifEp!$C:$C,adProjScenario,PrdAdPassifEp!$D:$D,adProjIteration,PrdAdPassifEp!$E:$E,"1.Perf",PrdAdPassifEp!$G:$G,adProjCdCanton)</f>
        <v>0</v>
      </c>
      <c r="F110" s="38">
        <f>SUMIFS(PrdAdPassifEp!$W:$W,PrdAdPassifEp!$B:$B,adProjChocS2,PrdAdPassifEp!$C:$C,adProjScenario,PrdAdPassifEp!$D:$D,adProjIteration,PrdAdPassifEp!$E:$E,"1.Perf",PrdAdPassifEp!$G:$G,adProjCdCanton)</f>
        <v>0</v>
      </c>
      <c r="G110" s="38">
        <f>SUMIFS(PrdAdPassifEp!$W:$W,PrdAdPassifEp!$B:$B,adProjChocS2,PrdAdPassifEp!$C:$C,adProjScenario,PrdAdPassifEp!$D:$D,adProjIteration,PrdAdPassifEp!$E:$E,"1.Perf",PrdAdPassifEp!$G:$G,adProjCdCanton)</f>
        <v>0</v>
      </c>
      <c r="H110" s="38">
        <f>SUMIFS(PrdAdPassifEp!$W:$W,PrdAdPassifEp!$B:$B,adProjChocS2,PrdAdPassifEp!$C:$C,adProjScenario,PrdAdPassifEp!$D:$D,adProjIteration,PrdAdPassifEp!$E:$E,"1.Perf",PrdAdPassifEp!$G:$G,adProjCdCanton)</f>
        <v>0</v>
      </c>
      <c r="I110" s="38">
        <f>SUMIFS(PrdAdPassifEp!$W:$W,PrdAdPassifEp!$B:$B,adProjChocS2,PrdAdPassifEp!$C:$C,adProjScenario,PrdAdPassifEp!$D:$D,adProjIteration,PrdAdPassifEp!$E:$E,"1.Perf",PrdAdPassifEp!$G:$G,adProjCdCanton)</f>
        <v>0</v>
      </c>
      <c r="J110" s="38">
        <f>SUMIFS(PrdAdPassifEp!$W:$W,PrdAdPassifEp!$B:$B,adProjChocS2,PrdAdPassifEp!$C:$C,adProjScenario,PrdAdPassifEp!$D:$D,adProjIteration,PrdAdPassifEp!$E:$E,"1.Perf",PrdAdPassifEp!$G:$G,adProjCdCanton)</f>
        <v>0</v>
      </c>
      <c r="K110" s="38">
        <f>SUMIFS(PrdAdPassifEp!$W:$W,PrdAdPassifEp!$B:$B,adProjChocS2,PrdAdPassifEp!$C:$C,adProjScenario,PrdAdPassifEp!$D:$D,adProjIteration,PrdAdPassifEp!$E:$E,"1.Perf",PrdAdPassifEp!$G:$G,adProjCdCanton)</f>
        <v>0</v>
      </c>
      <c r="L110" s="38">
        <f>SUMIFS(PrdAdPassifEp!$W:$W,PrdAdPassifEp!$B:$B,adProjChocS2,PrdAdPassifEp!$C:$C,adProjScenario,PrdAdPassifEp!$D:$D,adProjIteration,PrdAdPassifEp!$E:$E,"1.Perf",PrdAdPassifEp!$G:$G,adProjCdCanton)</f>
        <v>0</v>
      </c>
      <c r="M110" s="38">
        <f>SUMIFS(PrdAdPassifEp!$W:$W,PrdAdPassifEp!$B:$B,adProjChocS2,PrdAdPassifEp!$C:$C,adProjScenario,PrdAdPassifEp!$D:$D,adProjIteration,PrdAdPassifEp!$E:$E,"1.Perf",PrdAdPassifEp!$G:$G,adProjCdCanton)</f>
        <v>0</v>
      </c>
      <c r="N110" s="38">
        <f>SUMIFS(PrdAdPassifEp!$W:$W,PrdAdPassifEp!$B:$B,adProjChocS2,PrdAdPassifEp!$C:$C,adProjScenario,PrdAdPassifEp!$D:$D,adProjIteration,PrdAdPassifEp!$E:$E,"1.Perf",PrdAdPassifEp!$G:$G,adProjCdCanton)</f>
        <v>0</v>
      </c>
      <c r="O110" s="38">
        <f>SUMIFS(PrdAdPassifEp!$W:$W,PrdAdPassifEp!$B:$B,adProjChocS2,PrdAdPassifEp!$C:$C,adProjScenario,PrdAdPassifEp!$D:$D,adProjIteration,PrdAdPassifEp!$E:$E,"1.Perf",PrdAdPassifEp!$G:$G,adProjCdCanton)</f>
        <v>0</v>
      </c>
      <c r="P110" s="38">
        <f>SUMIFS(PrdAdPassifEp!$W:$W,PrdAdPassifEp!$B:$B,adProjChocS2,PrdAdPassifEp!$C:$C,adProjScenario,PrdAdPassifEp!$D:$D,adProjIteration,PrdAdPassifEp!$E:$E,"1.Perf",PrdAdPassifEp!$G:$G,adProjCdCanton)</f>
        <v>0</v>
      </c>
      <c r="Q110" s="38">
        <f>SUMIFS(PrdAdPassifEp!$W:$W,PrdAdPassifEp!$B:$B,adProjChocS2,PrdAdPassifEp!$C:$C,adProjScenario,PrdAdPassifEp!$D:$D,adProjIteration,PrdAdPassifEp!$E:$E,"1.Perf",PrdAdPassifEp!$G:$G,adProjCdCanton)</f>
        <v>0</v>
      </c>
      <c r="R110" s="38">
        <f>SUMIFS(PrdAdPassifEp!$W:$W,PrdAdPassifEp!$B:$B,adProjChocS2,PrdAdPassifEp!$C:$C,adProjScenario,PrdAdPassifEp!$D:$D,adProjIteration,PrdAdPassifEp!$E:$E,"1.Perf",PrdAdPassifEp!$G:$G,adProjCdCanton)</f>
        <v>0</v>
      </c>
      <c r="S110" s="38">
        <f>SUMIFS(PrdAdPassifEp!$W:$W,PrdAdPassifEp!$B:$B,adProjChocS2,PrdAdPassifEp!$C:$C,adProjScenario,PrdAdPassifEp!$D:$D,adProjIteration,PrdAdPassifEp!$E:$E,"1.Perf",PrdAdPassifEp!$G:$G,adProjCdCanton)</f>
        <v>0</v>
      </c>
      <c r="T110" s="38">
        <f>SUMIFS(PrdAdPassifEp!$W:$W,PrdAdPassifEp!$B:$B,adProjChocS2,PrdAdPassifEp!$C:$C,adProjScenario,PrdAdPassifEp!$D:$D,adProjIteration,PrdAdPassifEp!$E:$E,"1.Perf",PrdAdPassifEp!$G:$G,adProjCdCanton)</f>
        <v>0</v>
      </c>
      <c r="U110" s="38">
        <f>SUMIFS(PrdAdPassifEp!$W:$W,PrdAdPassifEp!$B:$B,adProjChocS2,PrdAdPassifEp!$C:$C,adProjScenario,PrdAdPassifEp!$D:$D,adProjIteration,PrdAdPassifEp!$E:$E,"1.Perf",PrdAdPassifEp!$G:$G,adProjCdCanton)</f>
        <v>0</v>
      </c>
      <c r="V110" s="38">
        <f>SUMIFS(PrdAdPassifEp!$W:$W,PrdAdPassifEp!$B:$B,adProjChocS2,PrdAdPassifEp!$C:$C,adProjScenario,PrdAdPassifEp!$D:$D,adProjIteration,PrdAdPassifEp!$E:$E,"1.Perf",PrdAdPassifEp!$G:$G,adProjCdCanton)</f>
        <v>0</v>
      </c>
      <c r="W110" s="38">
        <f>SUMIFS(PrdAdPassifEp!$W:$W,PrdAdPassifEp!$B:$B,adProjChocS2,PrdAdPassifEp!$C:$C,adProjScenario,PrdAdPassifEp!$D:$D,adProjIteration,PrdAdPassifEp!$E:$E,"1.Perf",PrdAdPassifEp!$G:$G,adProjCdCanton)</f>
        <v>0</v>
      </c>
      <c r="X110" s="38">
        <f>SUMIFS(PrdAdPassifEp!$W:$W,PrdAdPassifEp!$B:$B,adProjChocS2,PrdAdPassifEp!$C:$C,adProjScenario,PrdAdPassifEp!$D:$D,adProjIteration,PrdAdPassifEp!$E:$E,"1.Perf",PrdAdPassifEp!$G:$G,adProjCdCanton)</f>
        <v>0</v>
      </c>
      <c r="Y110" s="38">
        <f>SUMIFS(PrdAdPassifEp!$W:$W,PrdAdPassifEp!$B:$B,adProjChocS2,PrdAdPassifEp!$C:$C,adProjScenario,PrdAdPassifEp!$D:$D,adProjIteration,PrdAdPassifEp!$E:$E,"1.Perf",PrdAdPassifEp!$G:$G,adProjCdCanton)</f>
        <v>0</v>
      </c>
      <c r="Z110" s="38">
        <f>SUMIFS(PrdAdPassifEp!$W:$W,PrdAdPassifEp!$B:$B,adProjChocS2,PrdAdPassifEp!$C:$C,adProjScenario,PrdAdPassifEp!$D:$D,adProjIteration,PrdAdPassifEp!$E:$E,"1.Perf",PrdAdPassifEp!$G:$G,adProjCdCanton)</f>
        <v>0</v>
      </c>
      <c r="AA110" s="38">
        <f>SUMIFS(PrdAdPassifEp!$W:$W,PrdAdPassifEp!$B:$B,adProjChocS2,PrdAdPassifEp!$C:$C,adProjScenario,PrdAdPassifEp!$D:$D,adProjIteration,PrdAdPassifEp!$E:$E,"1.Perf",PrdAdPassifEp!$G:$G,adProjCdCanton)</f>
        <v>0</v>
      </c>
      <c r="AB110" s="38">
        <f>SUMIFS(PrdAdPassifEp!$W:$W,PrdAdPassifEp!$B:$B,adProjChocS2,PrdAdPassifEp!$C:$C,adProjScenario,PrdAdPassifEp!$D:$D,adProjIteration,PrdAdPassifEp!$E:$E,"1.Perf",PrdAdPassifEp!$G:$G,adProjCdCanton)</f>
        <v>0</v>
      </c>
      <c r="AC110" s="38">
        <f>SUMIFS(PrdAdPassifEp!$W:$W,PrdAdPassifEp!$B:$B,adProjChocS2,PrdAdPassifEp!$C:$C,adProjScenario,PrdAdPassifEp!$D:$D,adProjIteration,PrdAdPassifEp!$E:$E,"1.Perf",PrdAdPassifEp!$G:$G,adProjCdCanton)</f>
        <v>0</v>
      </c>
      <c r="AD110" s="38">
        <f>SUMIFS(PrdAdPassifEp!$W:$W,PrdAdPassifEp!$B:$B,adProjChocS2,PrdAdPassifEp!$C:$C,adProjScenario,PrdAdPassifEp!$D:$D,adProjIteration,PrdAdPassifEp!$E:$E,"1.Perf",PrdAdPassifEp!$G:$G,adProjCdCanton)</f>
        <v>0</v>
      </c>
      <c r="AE110" s="38">
        <f>SUMIFS(PrdAdPassifEp!$W:$W,PrdAdPassifEp!$B:$B,adProjChocS2,PrdAdPassifEp!$C:$C,adProjScenario,PrdAdPassifEp!$D:$D,adProjIteration,PrdAdPassifEp!$E:$E,"1.Perf",PrdAdPassifEp!$G:$G,adProjCdCanton)</f>
        <v>0</v>
      </c>
      <c r="AF110" s="38">
        <f>SUMIFS(PrdAdPassifEp!$W:$W,PrdAdPassifEp!$B:$B,adProjChocS2,PrdAdPassifEp!$C:$C,adProjScenario,PrdAdPassifEp!$D:$D,adProjIteration,PrdAdPassifEp!$E:$E,"1.Perf",PrdAdPassifEp!$G:$G,adProjCdCanton)</f>
        <v>0</v>
      </c>
      <c r="AG110" s="38">
        <f>SUMIFS(PrdAdPassifEp!$W:$W,PrdAdPassifEp!$B:$B,adProjChocS2,PrdAdPassifEp!$C:$C,adProjScenario,PrdAdPassifEp!$D:$D,adProjIteration,PrdAdPassifEp!$E:$E,"1.Perf",PrdAdPassifEp!$G:$G,adProjCdCanton)</f>
        <v>0</v>
      </c>
      <c r="AH110" s="38">
        <f>SUMIFS(PrdAdPassifEp!$W:$W,PrdAdPassifEp!$B:$B,adProjChocS2,PrdAdPassifEp!$C:$C,adProjScenario,PrdAdPassifEp!$D:$D,adProjIteration,PrdAdPassifEp!$E:$E,"1.Perf",PrdAdPassifEp!$G:$G,adProjCdCanton)</f>
        <v>0</v>
      </c>
      <c r="AI110" s="38">
        <f>SUMIFS(PrdAdPassifEp!$W:$W,PrdAdPassifEp!$B:$B,adProjChocS2,PrdAdPassifEp!$C:$C,adProjScenario,PrdAdPassifEp!$D:$D,adProjIteration,PrdAdPassifEp!$E:$E,"1.Perf",PrdAdPassifEp!$G:$G,adProjCdCanton)</f>
        <v>0</v>
      </c>
      <c r="AJ110" s="38">
        <f>SUMIFS(PrdAdPassifEp!$W:$W,PrdAdPassifEp!$B:$B,adProjChocS2,PrdAdPassifEp!$C:$C,adProjScenario,PrdAdPassifEp!$D:$D,adProjIteration,PrdAdPassifEp!$E:$E,"1.Perf",PrdAdPassifEp!$G:$G,adProjCdCanton)</f>
        <v>0</v>
      </c>
      <c r="AK110" s="38">
        <f>SUMIFS(PrdAdPassifEp!$W:$W,PrdAdPassifEp!$B:$B,adProjChocS2,PrdAdPassifEp!$C:$C,adProjScenario,PrdAdPassifEp!$D:$D,adProjIteration,PrdAdPassifEp!$E:$E,"1.Perf",PrdAdPassifEp!$G:$G,adProjCdCanton)</f>
        <v>0</v>
      </c>
      <c r="AL110" s="38">
        <f>SUMIFS(PrdAdPassifEp!$W:$W,PrdAdPassifEp!$B:$B,adProjChocS2,PrdAdPassifEp!$C:$C,adProjScenario,PrdAdPassifEp!$D:$D,adProjIteration,PrdAdPassifEp!$E:$E,"1.Perf",PrdAdPassifEp!$G:$G,adProjCdCanton)</f>
        <v>0</v>
      </c>
      <c r="AM110" s="38">
        <f>SUMIFS(PrdAdPassifEp!$W:$W,PrdAdPassifEp!$B:$B,adProjChocS2,PrdAdPassifEp!$C:$C,adProjScenario,PrdAdPassifEp!$D:$D,adProjIteration,PrdAdPassifEp!$E:$E,"1.Perf",PrdAdPassifEp!$G:$G,adProjCdCanton)</f>
        <v>0</v>
      </c>
      <c r="AN110" s="38">
        <f>SUMIFS(PrdAdPassifEp!$W:$W,PrdAdPassifEp!$B:$B,adProjChocS2,PrdAdPassifEp!$C:$C,adProjScenario,PrdAdPassifEp!$D:$D,adProjIteration,PrdAdPassifEp!$E:$E,"1.Perf",PrdAdPassifEp!$G:$G,adProjCdCanton)</f>
        <v>0</v>
      </c>
      <c r="AO110" s="38">
        <f>SUMIFS(PrdAdPassifEp!$W:$W,PrdAdPassifEp!$B:$B,adProjChocS2,PrdAdPassifEp!$C:$C,adProjScenario,PrdAdPassifEp!$D:$D,adProjIteration,PrdAdPassifEp!$E:$E,"1.Perf",PrdAdPassifEp!$G:$G,adProjCdCanton)</f>
        <v>0</v>
      </c>
      <c r="AP110" s="38">
        <f>SUMIFS(PrdAdPassifEp!$W:$W,PrdAdPassifEp!$B:$B,adProjChocS2,PrdAdPassifEp!$C:$C,adProjScenario,PrdAdPassifEp!$D:$D,adProjIteration,PrdAdPassifEp!$E:$E,"1.Perf",PrdAdPassifEp!$G:$G,adProjCdCanton)</f>
        <v>0</v>
      </c>
      <c r="AQ110" s="38">
        <f>SUMIFS(PrdAdPassifEp!$W:$W,PrdAdPassifEp!$B:$B,adProjChocS2,PrdAdPassifEp!$C:$C,adProjScenario,PrdAdPassifEp!$D:$D,adProjIteration,PrdAdPassifEp!$E:$E,"1.Perf",PrdAdPassifEp!$G:$G,adProjCdCanton)</f>
        <v>0</v>
      </c>
      <c r="AR110" s="38">
        <f>SUMIFS(PrdAdPassifEp!$W:$W,PrdAdPassifEp!$B:$B,adProjChocS2,PrdAdPassifEp!$C:$C,adProjScenario,PrdAdPassifEp!$D:$D,adProjIteration,PrdAdPassifEp!$E:$E,"1.Perf",PrdAdPassifEp!$G:$G,adProjCdCanton)</f>
        <v>0</v>
      </c>
      <c r="AS110" s="38">
        <f>SUMIFS(PrdAdPassifEp!$W:$W,PrdAdPassifEp!$B:$B,adProjChocS2,PrdAdPassifEp!$C:$C,adProjScenario,PrdAdPassifEp!$D:$D,adProjIteration,PrdAdPassifEp!$E:$E,"1.Perf",PrdAdPassifEp!$G:$G,adProjCdCanton)</f>
        <v>0</v>
      </c>
      <c r="AT110" s="38">
        <f>SUMIFS(PrdAdPassifEp!$W:$W,PrdAdPassifEp!$B:$B,adProjChocS2,PrdAdPassifEp!$C:$C,adProjScenario,PrdAdPassifEp!$D:$D,adProjIteration,PrdAdPassifEp!$E:$E,"1.Perf",PrdAdPassifEp!$G:$G,adProjCdCanton)</f>
        <v>0</v>
      </c>
      <c r="AU110" s="38">
        <f>SUMIFS(PrdAdPassifEp!$W:$W,PrdAdPassifEp!$B:$B,adProjChocS2,PrdAdPassifEp!$C:$C,adProjScenario,PrdAdPassifEp!$D:$D,adProjIteration,PrdAdPassifEp!$E:$E,"1.Perf",PrdAdPassifEp!$G:$G,adProjCdCanton)</f>
        <v>0</v>
      </c>
      <c r="AV110" s="38">
        <f>SUMIFS(PrdAdPassifEp!$W:$W,PrdAdPassifEp!$B:$B,adProjChocS2,PrdAdPassifEp!$C:$C,adProjScenario,PrdAdPassifEp!$D:$D,adProjIteration,PrdAdPassifEp!$E:$E,"1.Perf",PrdAdPassifEp!$G:$G,adProjCdCanton)</f>
        <v>0</v>
      </c>
      <c r="AW110" s="38">
        <f>SUMIFS(PrdAdPassifEp!$W:$W,PrdAdPassifEp!$B:$B,adProjChocS2,PrdAdPassifEp!$C:$C,adProjScenario,PrdAdPassifEp!$D:$D,adProjIteration,PrdAdPassifEp!$E:$E,"1.Perf",PrdAdPassifEp!$G:$G,adProjCdCanton)</f>
        <v>0</v>
      </c>
      <c r="AX110" s="38">
        <f>SUMIFS(PrdAdPassifEp!$W:$W,PrdAdPassifEp!$B:$B,adProjChocS2,PrdAdPassifEp!$C:$C,adProjScenario,PrdAdPassifEp!$D:$D,adProjIteration,PrdAdPassifEp!$E:$E,"1.Perf",PrdAdPassifEp!$G:$G,adProjCdCanton)</f>
        <v>0</v>
      </c>
      <c r="AY110" s="38">
        <f>SUMIFS(PrdAdPassifEp!$W:$W,PrdAdPassifEp!$B:$B,adProjChocS2,PrdAdPassifEp!$C:$C,adProjScenario,PrdAdPassifEp!$D:$D,adProjIteration,PrdAdPassifEp!$E:$E,"1.Perf",PrdAdPassifEp!$G:$G,adProjCdCanton)</f>
        <v>0</v>
      </c>
      <c r="AZ110" s="38">
        <f>SUMIFS(PrdAdPassifEp!$W:$W,PrdAdPassifEp!$B:$B,adProjChocS2,PrdAdPassifEp!$C:$C,adProjScenario,PrdAdPassifEp!$D:$D,adProjIteration,PrdAdPassifEp!$E:$E,"1.Perf",PrdAdPassifEp!$G:$G,adProjCdCanton)</f>
        <v>0</v>
      </c>
      <c r="BA110" s="38">
        <f>SUMIFS(PrdAdPassifEp!$W:$W,PrdAdPassifEp!$B:$B,adProjChocS2,PrdAdPassifEp!$C:$C,adProjScenario,PrdAdPassifEp!$D:$D,adProjIteration,PrdAdPassifEp!$E:$E,"1.Perf",PrdAdPassifEp!$G:$G,adProjCdCanton)</f>
        <v>0</v>
      </c>
      <c r="BB110" s="38">
        <f>SUMIFS(PrdAdPassifEp!$W:$W,PrdAdPassifEp!$B:$B,adProjChocS2,PrdAdPassifEp!$C:$C,adProjScenario,PrdAdPassifEp!$D:$D,adProjIteration,PrdAdPassifEp!$E:$E,"1.Perf",PrdAdPassifEp!$G:$G,adProjCdCanton)</f>
        <v>0</v>
      </c>
    </row>
    <row r="111" spans="1:54" ht="15.75" customHeight="1" x14ac:dyDescent="0.3">
      <c r="A111" s="16"/>
      <c r="B111" s="34"/>
      <c r="C111" s="45" t="s">
        <v>91</v>
      </c>
      <c r="D111" s="38"/>
      <c r="E111" s="46" t="b">
        <f t="shared" ref="E111:AJ111" si="32">ABS(adPrstTotNet-E108-E106-E104)&lt;1</f>
        <v>1</v>
      </c>
      <c r="F111" s="46" t="b">
        <f t="shared" si="32"/>
        <v>1</v>
      </c>
      <c r="G111" s="46" t="b">
        <f t="shared" si="32"/>
        <v>1</v>
      </c>
      <c r="H111" s="46" t="b">
        <f t="shared" si="32"/>
        <v>1</v>
      </c>
      <c r="I111" s="46" t="b">
        <f t="shared" si="32"/>
        <v>1</v>
      </c>
      <c r="J111" s="46" t="b">
        <f t="shared" si="32"/>
        <v>1</v>
      </c>
      <c r="K111" s="46" t="b">
        <f t="shared" si="32"/>
        <v>1</v>
      </c>
      <c r="L111" s="46" t="b">
        <f t="shared" si="32"/>
        <v>1</v>
      </c>
      <c r="M111" s="46" t="b">
        <f t="shared" si="32"/>
        <v>1</v>
      </c>
      <c r="N111" s="46" t="b">
        <f t="shared" si="32"/>
        <v>1</v>
      </c>
      <c r="O111" s="46" t="b">
        <f t="shared" si="32"/>
        <v>1</v>
      </c>
      <c r="P111" s="46" t="b">
        <f t="shared" si="32"/>
        <v>1</v>
      </c>
      <c r="Q111" s="46" t="b">
        <f t="shared" si="32"/>
        <v>1</v>
      </c>
      <c r="R111" s="46" t="b">
        <f t="shared" si="32"/>
        <v>1</v>
      </c>
      <c r="S111" s="46" t="b">
        <f t="shared" si="32"/>
        <v>1</v>
      </c>
      <c r="T111" s="46" t="b">
        <f t="shared" si="32"/>
        <v>1</v>
      </c>
      <c r="U111" s="46" t="b">
        <f t="shared" si="32"/>
        <v>1</v>
      </c>
      <c r="V111" s="46" t="b">
        <f t="shared" si="32"/>
        <v>1</v>
      </c>
      <c r="W111" s="46" t="b">
        <f t="shared" si="32"/>
        <v>1</v>
      </c>
      <c r="X111" s="46" t="b">
        <f t="shared" si="32"/>
        <v>1</v>
      </c>
      <c r="Y111" s="46" t="b">
        <f t="shared" si="32"/>
        <v>1</v>
      </c>
      <c r="Z111" s="46" t="b">
        <f t="shared" si="32"/>
        <v>1</v>
      </c>
      <c r="AA111" s="46" t="b">
        <f t="shared" si="32"/>
        <v>1</v>
      </c>
      <c r="AB111" s="46" t="b">
        <f t="shared" si="32"/>
        <v>1</v>
      </c>
      <c r="AC111" s="46" t="b">
        <f t="shared" si="32"/>
        <v>1</v>
      </c>
      <c r="AD111" s="46" t="b">
        <f t="shared" si="32"/>
        <v>1</v>
      </c>
      <c r="AE111" s="46" t="b">
        <f t="shared" si="32"/>
        <v>1</v>
      </c>
      <c r="AF111" s="46" t="b">
        <f t="shared" si="32"/>
        <v>1</v>
      </c>
      <c r="AG111" s="46" t="b">
        <f t="shared" si="32"/>
        <v>1</v>
      </c>
      <c r="AH111" s="46" t="b">
        <f t="shared" si="32"/>
        <v>1</v>
      </c>
      <c r="AI111" s="46" t="b">
        <f t="shared" si="32"/>
        <v>1</v>
      </c>
      <c r="AJ111" s="46" t="b">
        <f t="shared" si="32"/>
        <v>1</v>
      </c>
      <c r="AK111" s="46" t="b">
        <f t="shared" ref="AK111:BB111" si="33">ABS(adPrstTotNet-AK108-AK106-AK104)&lt;1</f>
        <v>1</v>
      </c>
      <c r="AL111" s="46" t="b">
        <f t="shared" si="33"/>
        <v>1</v>
      </c>
      <c r="AM111" s="46" t="b">
        <f t="shared" si="33"/>
        <v>1</v>
      </c>
      <c r="AN111" s="46" t="b">
        <f t="shared" si="33"/>
        <v>1</v>
      </c>
      <c r="AO111" s="46" t="b">
        <f t="shared" si="33"/>
        <v>1</v>
      </c>
      <c r="AP111" s="46" t="b">
        <f t="shared" si="33"/>
        <v>1</v>
      </c>
      <c r="AQ111" s="46" t="b">
        <f t="shared" si="33"/>
        <v>1</v>
      </c>
      <c r="AR111" s="46" t="b">
        <f t="shared" si="33"/>
        <v>1</v>
      </c>
      <c r="AS111" s="46" t="b">
        <f t="shared" si="33"/>
        <v>1</v>
      </c>
      <c r="AT111" s="46" t="b">
        <f t="shared" si="33"/>
        <v>1</v>
      </c>
      <c r="AU111" s="46" t="b">
        <f t="shared" si="33"/>
        <v>1</v>
      </c>
      <c r="AV111" s="46" t="b">
        <f t="shared" si="33"/>
        <v>1</v>
      </c>
      <c r="AW111" s="46" t="b">
        <f t="shared" si="33"/>
        <v>1</v>
      </c>
      <c r="AX111" s="46" t="b">
        <f t="shared" si="33"/>
        <v>1</v>
      </c>
      <c r="AY111" s="46" t="b">
        <f t="shared" si="33"/>
        <v>1</v>
      </c>
      <c r="AZ111" s="46" t="b">
        <f t="shared" si="33"/>
        <v>1</v>
      </c>
      <c r="BA111" s="46" t="b">
        <f t="shared" si="33"/>
        <v>1</v>
      </c>
      <c r="BB111" s="46" t="b">
        <f t="shared" si="33"/>
        <v>1</v>
      </c>
    </row>
    <row r="112" spans="1:54" ht="15.75" customHeight="1" x14ac:dyDescent="0.3">
      <c r="A112" s="16"/>
      <c r="B112" s="34"/>
      <c r="C112" s="47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</row>
    <row r="113" spans="1:54" ht="15.75" customHeight="1" x14ac:dyDescent="0.3">
      <c r="A113" s="16"/>
      <c r="B113" s="34"/>
      <c r="C113" s="39" t="s">
        <v>92</v>
      </c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</row>
    <row r="114" spans="1:54" ht="15.75" customHeight="1" x14ac:dyDescent="0.3">
      <c r="A114" s="16"/>
      <c r="B114" s="34"/>
      <c r="C114" s="37" t="s">
        <v>93</v>
      </c>
      <c r="D114" s="38">
        <f>SUMIFS(PrdAdPassifEp!$AG:$AG,PrdAdPassifEp!$B:$B,adProjChocS2,PrdAdPassifEp!$C:$C,adProjScenario,PrdAdPassifEp!$D:$D,adProjIteration,PrdAdPassifEp!$E:$E,"1.Perf",PrdAdPassifEp!$G:$G,adProjCdCanton)</f>
        <v>0</v>
      </c>
      <c r="E114" s="38">
        <f>SUMIFS(PrdAdPassifEp!$AG:$AG,PrdAdPassifEp!$B:$B,adProjChocS2,PrdAdPassifEp!$C:$C,adProjScenario,PrdAdPassifEp!$D:$D,adProjIteration,PrdAdPassifEp!$E:$E,"1.Perf",PrdAdPassifEp!$G:$G,adProjCdCanton)</f>
        <v>0</v>
      </c>
      <c r="F114" s="38">
        <f>SUMIFS(PrdAdPassifEp!$AG:$AG,PrdAdPassifEp!$B:$B,adProjChocS2,PrdAdPassifEp!$C:$C,adProjScenario,PrdAdPassifEp!$D:$D,adProjIteration,PrdAdPassifEp!$E:$E,"1.Perf",PrdAdPassifEp!$G:$G,adProjCdCanton)</f>
        <v>0</v>
      </c>
      <c r="G114" s="38">
        <f>SUMIFS(PrdAdPassifEp!$AG:$AG,PrdAdPassifEp!$B:$B,adProjChocS2,PrdAdPassifEp!$C:$C,adProjScenario,PrdAdPassifEp!$D:$D,adProjIteration,PrdAdPassifEp!$E:$E,"1.Perf",PrdAdPassifEp!$G:$G,adProjCdCanton)</f>
        <v>0</v>
      </c>
      <c r="H114" s="38">
        <f>SUMIFS(PrdAdPassifEp!$AG:$AG,PrdAdPassifEp!$B:$B,adProjChocS2,PrdAdPassifEp!$C:$C,adProjScenario,PrdAdPassifEp!$D:$D,adProjIteration,PrdAdPassifEp!$E:$E,"1.Perf",PrdAdPassifEp!$G:$G,adProjCdCanton)</f>
        <v>0</v>
      </c>
      <c r="I114" s="38">
        <f>SUMIFS(PrdAdPassifEp!$AG:$AG,PrdAdPassifEp!$B:$B,adProjChocS2,PrdAdPassifEp!$C:$C,adProjScenario,PrdAdPassifEp!$D:$D,adProjIteration,PrdAdPassifEp!$E:$E,"1.Perf",PrdAdPassifEp!$G:$G,adProjCdCanton)</f>
        <v>0</v>
      </c>
      <c r="J114" s="38">
        <f>SUMIFS(PrdAdPassifEp!$AG:$AG,PrdAdPassifEp!$B:$B,adProjChocS2,PrdAdPassifEp!$C:$C,adProjScenario,PrdAdPassifEp!$D:$D,adProjIteration,PrdAdPassifEp!$E:$E,"1.Perf",PrdAdPassifEp!$G:$G,adProjCdCanton)</f>
        <v>0</v>
      </c>
      <c r="K114" s="38">
        <f>SUMIFS(PrdAdPassifEp!$AG:$AG,PrdAdPassifEp!$B:$B,adProjChocS2,PrdAdPassifEp!$C:$C,adProjScenario,PrdAdPassifEp!$D:$D,adProjIteration,PrdAdPassifEp!$E:$E,"1.Perf",PrdAdPassifEp!$G:$G,adProjCdCanton)</f>
        <v>0</v>
      </c>
      <c r="L114" s="38">
        <f>SUMIFS(PrdAdPassifEp!$AG:$AG,PrdAdPassifEp!$B:$B,adProjChocS2,PrdAdPassifEp!$C:$C,adProjScenario,PrdAdPassifEp!$D:$D,adProjIteration,PrdAdPassifEp!$E:$E,"1.Perf",PrdAdPassifEp!$G:$G,adProjCdCanton)</f>
        <v>0</v>
      </c>
      <c r="M114" s="38">
        <f>SUMIFS(PrdAdPassifEp!$AG:$AG,PrdAdPassifEp!$B:$B,adProjChocS2,PrdAdPassifEp!$C:$C,adProjScenario,PrdAdPassifEp!$D:$D,adProjIteration,PrdAdPassifEp!$E:$E,"1.Perf",PrdAdPassifEp!$G:$G,adProjCdCanton)</f>
        <v>0</v>
      </c>
      <c r="N114" s="38">
        <f>SUMIFS(PrdAdPassifEp!$AG:$AG,PrdAdPassifEp!$B:$B,adProjChocS2,PrdAdPassifEp!$C:$C,adProjScenario,PrdAdPassifEp!$D:$D,adProjIteration,PrdAdPassifEp!$E:$E,"1.Perf",PrdAdPassifEp!$G:$G,adProjCdCanton)</f>
        <v>0</v>
      </c>
      <c r="O114" s="38">
        <f>SUMIFS(PrdAdPassifEp!$AG:$AG,PrdAdPassifEp!$B:$B,adProjChocS2,PrdAdPassifEp!$C:$C,adProjScenario,PrdAdPassifEp!$D:$D,adProjIteration,PrdAdPassifEp!$E:$E,"1.Perf",PrdAdPassifEp!$G:$G,adProjCdCanton)</f>
        <v>0</v>
      </c>
      <c r="P114" s="38">
        <f>SUMIFS(PrdAdPassifEp!$AG:$AG,PrdAdPassifEp!$B:$B,adProjChocS2,PrdAdPassifEp!$C:$C,adProjScenario,PrdAdPassifEp!$D:$D,adProjIteration,PrdAdPassifEp!$E:$E,"1.Perf",PrdAdPassifEp!$G:$G,adProjCdCanton)</f>
        <v>0</v>
      </c>
      <c r="Q114" s="38">
        <f>SUMIFS(PrdAdPassifEp!$AG:$AG,PrdAdPassifEp!$B:$B,adProjChocS2,PrdAdPassifEp!$C:$C,adProjScenario,PrdAdPassifEp!$D:$D,adProjIteration,PrdAdPassifEp!$E:$E,"1.Perf",PrdAdPassifEp!$G:$G,adProjCdCanton)</f>
        <v>0</v>
      </c>
      <c r="R114" s="38">
        <f>SUMIFS(PrdAdPassifEp!$AG:$AG,PrdAdPassifEp!$B:$B,adProjChocS2,PrdAdPassifEp!$C:$C,adProjScenario,PrdAdPassifEp!$D:$D,adProjIteration,PrdAdPassifEp!$E:$E,"1.Perf",PrdAdPassifEp!$G:$G,adProjCdCanton)</f>
        <v>0</v>
      </c>
      <c r="S114" s="38">
        <f>SUMIFS(PrdAdPassifEp!$AG:$AG,PrdAdPassifEp!$B:$B,adProjChocS2,PrdAdPassifEp!$C:$C,adProjScenario,PrdAdPassifEp!$D:$D,adProjIteration,PrdAdPassifEp!$E:$E,"1.Perf",PrdAdPassifEp!$G:$G,adProjCdCanton)</f>
        <v>0</v>
      </c>
      <c r="T114" s="38">
        <f>SUMIFS(PrdAdPassifEp!$AG:$AG,PrdAdPassifEp!$B:$B,adProjChocS2,PrdAdPassifEp!$C:$C,adProjScenario,PrdAdPassifEp!$D:$D,adProjIteration,PrdAdPassifEp!$E:$E,"1.Perf",PrdAdPassifEp!$G:$G,adProjCdCanton)</f>
        <v>0</v>
      </c>
      <c r="U114" s="38">
        <f>SUMIFS(PrdAdPassifEp!$AG:$AG,PrdAdPassifEp!$B:$B,adProjChocS2,PrdAdPassifEp!$C:$C,adProjScenario,PrdAdPassifEp!$D:$D,adProjIteration,PrdAdPassifEp!$E:$E,"1.Perf",PrdAdPassifEp!$G:$G,adProjCdCanton)</f>
        <v>0</v>
      </c>
      <c r="V114" s="38">
        <f>SUMIFS(PrdAdPassifEp!$AG:$AG,PrdAdPassifEp!$B:$B,adProjChocS2,PrdAdPassifEp!$C:$C,adProjScenario,PrdAdPassifEp!$D:$D,adProjIteration,PrdAdPassifEp!$E:$E,"1.Perf",PrdAdPassifEp!$G:$G,adProjCdCanton)</f>
        <v>0</v>
      </c>
      <c r="W114" s="38">
        <f>SUMIFS(PrdAdPassifEp!$AG:$AG,PrdAdPassifEp!$B:$B,adProjChocS2,PrdAdPassifEp!$C:$C,adProjScenario,PrdAdPassifEp!$D:$D,adProjIteration,PrdAdPassifEp!$E:$E,"1.Perf",PrdAdPassifEp!$G:$G,adProjCdCanton)</f>
        <v>0</v>
      </c>
      <c r="X114" s="38">
        <f>SUMIFS(PrdAdPassifEp!$AG:$AG,PrdAdPassifEp!$B:$B,adProjChocS2,PrdAdPassifEp!$C:$C,adProjScenario,PrdAdPassifEp!$D:$D,adProjIteration,PrdAdPassifEp!$E:$E,"1.Perf",PrdAdPassifEp!$G:$G,adProjCdCanton)</f>
        <v>0</v>
      </c>
      <c r="Y114" s="38">
        <f>SUMIFS(PrdAdPassifEp!$AG:$AG,PrdAdPassifEp!$B:$B,adProjChocS2,PrdAdPassifEp!$C:$C,adProjScenario,PrdAdPassifEp!$D:$D,adProjIteration,PrdAdPassifEp!$E:$E,"1.Perf",PrdAdPassifEp!$G:$G,adProjCdCanton)</f>
        <v>0</v>
      </c>
      <c r="Z114" s="38">
        <f>SUMIFS(PrdAdPassifEp!$AG:$AG,PrdAdPassifEp!$B:$B,adProjChocS2,PrdAdPassifEp!$C:$C,adProjScenario,PrdAdPassifEp!$D:$D,adProjIteration,PrdAdPassifEp!$E:$E,"1.Perf",PrdAdPassifEp!$G:$G,adProjCdCanton)</f>
        <v>0</v>
      </c>
      <c r="AA114" s="38">
        <f>SUMIFS(PrdAdPassifEp!$AG:$AG,PrdAdPassifEp!$B:$B,adProjChocS2,PrdAdPassifEp!$C:$C,adProjScenario,PrdAdPassifEp!$D:$D,adProjIteration,PrdAdPassifEp!$E:$E,"1.Perf",PrdAdPassifEp!$G:$G,adProjCdCanton)</f>
        <v>0</v>
      </c>
      <c r="AB114" s="38">
        <f>SUMIFS(PrdAdPassifEp!$AG:$AG,PrdAdPassifEp!$B:$B,adProjChocS2,PrdAdPassifEp!$C:$C,adProjScenario,PrdAdPassifEp!$D:$D,adProjIteration,PrdAdPassifEp!$E:$E,"1.Perf",PrdAdPassifEp!$G:$G,adProjCdCanton)</f>
        <v>0</v>
      </c>
      <c r="AC114" s="38">
        <f>SUMIFS(PrdAdPassifEp!$AG:$AG,PrdAdPassifEp!$B:$B,adProjChocS2,PrdAdPassifEp!$C:$C,adProjScenario,PrdAdPassifEp!$D:$D,adProjIteration,PrdAdPassifEp!$E:$E,"1.Perf",PrdAdPassifEp!$G:$G,adProjCdCanton)</f>
        <v>0</v>
      </c>
      <c r="AD114" s="38">
        <f>SUMIFS(PrdAdPassifEp!$AG:$AG,PrdAdPassifEp!$B:$B,adProjChocS2,PrdAdPassifEp!$C:$C,adProjScenario,PrdAdPassifEp!$D:$D,adProjIteration,PrdAdPassifEp!$E:$E,"1.Perf",PrdAdPassifEp!$G:$G,adProjCdCanton)</f>
        <v>0</v>
      </c>
      <c r="AE114" s="38">
        <f>SUMIFS(PrdAdPassifEp!$AG:$AG,PrdAdPassifEp!$B:$B,adProjChocS2,PrdAdPassifEp!$C:$C,adProjScenario,PrdAdPassifEp!$D:$D,adProjIteration,PrdAdPassifEp!$E:$E,"1.Perf",PrdAdPassifEp!$G:$G,adProjCdCanton)</f>
        <v>0</v>
      </c>
      <c r="AF114" s="38">
        <f>SUMIFS(PrdAdPassifEp!$AG:$AG,PrdAdPassifEp!$B:$B,adProjChocS2,PrdAdPassifEp!$C:$C,adProjScenario,PrdAdPassifEp!$D:$D,adProjIteration,PrdAdPassifEp!$E:$E,"1.Perf",PrdAdPassifEp!$G:$G,adProjCdCanton)</f>
        <v>0</v>
      </c>
      <c r="AG114" s="38">
        <f>SUMIFS(PrdAdPassifEp!$AG:$AG,PrdAdPassifEp!$B:$B,adProjChocS2,PrdAdPassifEp!$C:$C,adProjScenario,PrdAdPassifEp!$D:$D,adProjIteration,PrdAdPassifEp!$E:$E,"1.Perf",PrdAdPassifEp!$G:$G,adProjCdCanton)</f>
        <v>0</v>
      </c>
      <c r="AH114" s="38">
        <f>SUMIFS(PrdAdPassifEp!$AG:$AG,PrdAdPassifEp!$B:$B,adProjChocS2,PrdAdPassifEp!$C:$C,adProjScenario,PrdAdPassifEp!$D:$D,adProjIteration,PrdAdPassifEp!$E:$E,"1.Perf",PrdAdPassifEp!$G:$G,adProjCdCanton)</f>
        <v>0</v>
      </c>
      <c r="AI114" s="38">
        <f>SUMIFS(PrdAdPassifEp!$AG:$AG,PrdAdPassifEp!$B:$B,adProjChocS2,PrdAdPassifEp!$C:$C,adProjScenario,PrdAdPassifEp!$D:$D,adProjIteration,PrdAdPassifEp!$E:$E,"1.Perf",PrdAdPassifEp!$G:$G,adProjCdCanton)</f>
        <v>0</v>
      </c>
      <c r="AJ114" s="38">
        <f>SUMIFS(PrdAdPassifEp!$AG:$AG,PrdAdPassifEp!$B:$B,adProjChocS2,PrdAdPassifEp!$C:$C,adProjScenario,PrdAdPassifEp!$D:$D,adProjIteration,PrdAdPassifEp!$E:$E,"1.Perf",PrdAdPassifEp!$G:$G,adProjCdCanton)</f>
        <v>0</v>
      </c>
      <c r="AK114" s="38">
        <f>SUMIFS(PrdAdPassifEp!$AG:$AG,PrdAdPassifEp!$B:$B,adProjChocS2,PrdAdPassifEp!$C:$C,adProjScenario,PrdAdPassifEp!$D:$D,adProjIteration,PrdAdPassifEp!$E:$E,"1.Perf",PrdAdPassifEp!$G:$G,adProjCdCanton)</f>
        <v>0</v>
      </c>
      <c r="AL114" s="38">
        <f>SUMIFS(PrdAdPassifEp!$AG:$AG,PrdAdPassifEp!$B:$B,adProjChocS2,PrdAdPassifEp!$C:$C,adProjScenario,PrdAdPassifEp!$D:$D,adProjIteration,PrdAdPassifEp!$E:$E,"1.Perf",PrdAdPassifEp!$G:$G,adProjCdCanton)</f>
        <v>0</v>
      </c>
      <c r="AM114" s="38">
        <f>SUMIFS(PrdAdPassifEp!$AG:$AG,PrdAdPassifEp!$B:$B,adProjChocS2,PrdAdPassifEp!$C:$C,adProjScenario,PrdAdPassifEp!$D:$D,adProjIteration,PrdAdPassifEp!$E:$E,"1.Perf",PrdAdPassifEp!$G:$G,adProjCdCanton)</f>
        <v>0</v>
      </c>
      <c r="AN114" s="38">
        <f>SUMIFS(PrdAdPassifEp!$AG:$AG,PrdAdPassifEp!$B:$B,adProjChocS2,PrdAdPassifEp!$C:$C,adProjScenario,PrdAdPassifEp!$D:$D,adProjIteration,PrdAdPassifEp!$E:$E,"1.Perf",PrdAdPassifEp!$G:$G,adProjCdCanton)</f>
        <v>0</v>
      </c>
      <c r="AO114" s="38">
        <f>SUMIFS(PrdAdPassifEp!$AG:$AG,PrdAdPassifEp!$B:$B,adProjChocS2,PrdAdPassifEp!$C:$C,adProjScenario,PrdAdPassifEp!$D:$D,adProjIteration,PrdAdPassifEp!$E:$E,"1.Perf",PrdAdPassifEp!$G:$G,adProjCdCanton)</f>
        <v>0</v>
      </c>
      <c r="AP114" s="38">
        <f>SUMIFS(PrdAdPassifEp!$AG:$AG,PrdAdPassifEp!$B:$B,adProjChocS2,PrdAdPassifEp!$C:$C,adProjScenario,PrdAdPassifEp!$D:$D,adProjIteration,PrdAdPassifEp!$E:$E,"1.Perf",PrdAdPassifEp!$G:$G,adProjCdCanton)</f>
        <v>0</v>
      </c>
      <c r="AQ114" s="38">
        <f>SUMIFS(PrdAdPassifEp!$AG:$AG,PrdAdPassifEp!$B:$B,adProjChocS2,PrdAdPassifEp!$C:$C,adProjScenario,PrdAdPassifEp!$D:$D,adProjIteration,PrdAdPassifEp!$E:$E,"1.Perf",PrdAdPassifEp!$G:$G,adProjCdCanton)</f>
        <v>0</v>
      </c>
      <c r="AR114" s="38">
        <f>SUMIFS(PrdAdPassifEp!$AG:$AG,PrdAdPassifEp!$B:$B,adProjChocS2,PrdAdPassifEp!$C:$C,adProjScenario,PrdAdPassifEp!$D:$D,adProjIteration,PrdAdPassifEp!$E:$E,"1.Perf",PrdAdPassifEp!$G:$G,adProjCdCanton)</f>
        <v>0</v>
      </c>
      <c r="AS114" s="38">
        <f>SUMIFS(PrdAdPassifEp!$AG:$AG,PrdAdPassifEp!$B:$B,adProjChocS2,PrdAdPassifEp!$C:$C,adProjScenario,PrdAdPassifEp!$D:$D,adProjIteration,PrdAdPassifEp!$E:$E,"1.Perf",PrdAdPassifEp!$G:$G,adProjCdCanton)</f>
        <v>0</v>
      </c>
      <c r="AT114" s="38">
        <f>SUMIFS(PrdAdPassifEp!$AG:$AG,PrdAdPassifEp!$B:$B,adProjChocS2,PrdAdPassifEp!$C:$C,adProjScenario,PrdAdPassifEp!$D:$D,adProjIteration,PrdAdPassifEp!$E:$E,"1.Perf",PrdAdPassifEp!$G:$G,adProjCdCanton)</f>
        <v>0</v>
      </c>
      <c r="AU114" s="38">
        <f>SUMIFS(PrdAdPassifEp!$AG:$AG,PrdAdPassifEp!$B:$B,adProjChocS2,PrdAdPassifEp!$C:$C,adProjScenario,PrdAdPassifEp!$D:$D,adProjIteration,PrdAdPassifEp!$E:$E,"1.Perf",PrdAdPassifEp!$G:$G,adProjCdCanton)</f>
        <v>0</v>
      </c>
      <c r="AV114" s="38">
        <f>SUMIFS(PrdAdPassifEp!$AG:$AG,PrdAdPassifEp!$B:$B,adProjChocS2,PrdAdPassifEp!$C:$C,adProjScenario,PrdAdPassifEp!$D:$D,adProjIteration,PrdAdPassifEp!$E:$E,"1.Perf",PrdAdPassifEp!$G:$G,adProjCdCanton)</f>
        <v>0</v>
      </c>
      <c r="AW114" s="38">
        <f>SUMIFS(PrdAdPassifEp!$AG:$AG,PrdAdPassifEp!$B:$B,adProjChocS2,PrdAdPassifEp!$C:$C,adProjScenario,PrdAdPassifEp!$D:$D,adProjIteration,PrdAdPassifEp!$E:$E,"1.Perf",PrdAdPassifEp!$G:$G,adProjCdCanton)</f>
        <v>0</v>
      </c>
      <c r="AX114" s="38">
        <f>SUMIFS(PrdAdPassifEp!$AG:$AG,PrdAdPassifEp!$B:$B,adProjChocS2,PrdAdPassifEp!$C:$C,adProjScenario,PrdAdPassifEp!$D:$D,adProjIteration,PrdAdPassifEp!$E:$E,"1.Perf",PrdAdPassifEp!$G:$G,adProjCdCanton)</f>
        <v>0</v>
      </c>
      <c r="AY114" s="38">
        <f>SUMIFS(PrdAdPassifEp!$AG:$AG,PrdAdPassifEp!$B:$B,adProjChocS2,PrdAdPassifEp!$C:$C,adProjScenario,PrdAdPassifEp!$D:$D,adProjIteration,PrdAdPassifEp!$E:$E,"1.Perf",PrdAdPassifEp!$G:$G,adProjCdCanton)</f>
        <v>0</v>
      </c>
      <c r="AZ114" s="38">
        <f>SUMIFS(PrdAdPassifEp!$AG:$AG,PrdAdPassifEp!$B:$B,adProjChocS2,PrdAdPassifEp!$C:$C,adProjScenario,PrdAdPassifEp!$D:$D,adProjIteration,PrdAdPassifEp!$E:$E,"1.Perf",PrdAdPassifEp!$G:$G,adProjCdCanton)</f>
        <v>0</v>
      </c>
      <c r="BA114" s="38">
        <f>SUMIFS(PrdAdPassifEp!$AG:$AG,PrdAdPassifEp!$B:$B,adProjChocS2,PrdAdPassifEp!$C:$C,adProjScenario,PrdAdPassifEp!$D:$D,adProjIteration,PrdAdPassifEp!$E:$E,"1.Perf",PrdAdPassifEp!$G:$G,adProjCdCanton)</f>
        <v>0</v>
      </c>
      <c r="BB114" s="38">
        <f>SUMIFS(PrdAdPassifEp!$AG:$AG,PrdAdPassifEp!$B:$B,adProjChocS2,PrdAdPassifEp!$C:$C,adProjScenario,PrdAdPassifEp!$D:$D,adProjIteration,PrdAdPassifEp!$E:$E,"1.Perf",PrdAdPassifEp!$G:$G,adProjCdCanton)</f>
        <v>0</v>
      </c>
    </row>
    <row r="115" spans="1:54" ht="15.75" customHeight="1" x14ac:dyDescent="0.3">
      <c r="A115" s="16"/>
      <c r="B115" s="34"/>
      <c r="C115" s="37" t="s">
        <v>94</v>
      </c>
      <c r="D115" s="38">
        <f>SUMIFS(PrdAdPassifEp!$Z:$Z,PrdAdPassifEp!$B:$B,adProjChocS2,PrdAdPassifEp!$C:$C,adProjScenario,PrdAdPassifEp!$D:$D,adProjIteration,PrdAdPassifEp!$E:$E,"1.Perf",PrdAdPassifEp!$G:$G,adProjCdCanton)</f>
        <v>0</v>
      </c>
      <c r="E115" s="38">
        <f>SUMIFS(PrdAdPassifEp!$AA:$AA,PrdAdPassifEp!$B:$B,adProjChocS2,PrdAdPassifEp!$C:$C,adProjScenario,PrdAdPassifEp!$D:$D,adProjIteration,PrdAdPassifEp!$E:$E,"1.Perf",PrdAdPassifEp!$G:$G,adProjCdCanton)</f>
        <v>0</v>
      </c>
      <c r="F115" s="38">
        <f>SUMIFS(PrdAdPassifEp!$AA:$AA,PrdAdPassifEp!$B:$B,adProjChocS2,PrdAdPassifEp!$C:$C,adProjScenario,PrdAdPassifEp!$D:$D,adProjIteration,PrdAdPassifEp!$E:$E,"1.Perf",PrdAdPassifEp!$G:$G,adProjCdCanton)</f>
        <v>0</v>
      </c>
      <c r="G115" s="38">
        <f>SUMIFS(PrdAdPassifEp!$AA:$AA,PrdAdPassifEp!$B:$B,adProjChocS2,PrdAdPassifEp!$C:$C,adProjScenario,PrdAdPassifEp!$D:$D,adProjIteration,PrdAdPassifEp!$E:$E,"1.Perf",PrdAdPassifEp!$G:$G,adProjCdCanton)</f>
        <v>0</v>
      </c>
      <c r="H115" s="38">
        <f>SUMIFS(PrdAdPassifEp!$AA:$AA,PrdAdPassifEp!$B:$B,adProjChocS2,PrdAdPassifEp!$C:$C,adProjScenario,PrdAdPassifEp!$D:$D,adProjIteration,PrdAdPassifEp!$E:$E,"1.Perf",PrdAdPassifEp!$G:$G,adProjCdCanton)</f>
        <v>0</v>
      </c>
      <c r="I115" s="38">
        <f>SUMIFS(PrdAdPassifEp!$AA:$AA,PrdAdPassifEp!$B:$B,adProjChocS2,PrdAdPassifEp!$C:$C,adProjScenario,PrdAdPassifEp!$D:$D,adProjIteration,PrdAdPassifEp!$E:$E,"1.Perf",PrdAdPassifEp!$G:$G,adProjCdCanton)</f>
        <v>0</v>
      </c>
      <c r="J115" s="38">
        <f>SUMIFS(PrdAdPassifEp!$AA:$AA,PrdAdPassifEp!$B:$B,adProjChocS2,PrdAdPassifEp!$C:$C,adProjScenario,PrdAdPassifEp!$D:$D,adProjIteration,PrdAdPassifEp!$E:$E,"1.Perf",PrdAdPassifEp!$G:$G,adProjCdCanton)</f>
        <v>0</v>
      </c>
      <c r="K115" s="38">
        <f>SUMIFS(PrdAdPassifEp!$AA:$AA,PrdAdPassifEp!$B:$B,adProjChocS2,PrdAdPassifEp!$C:$C,adProjScenario,PrdAdPassifEp!$D:$D,adProjIteration,PrdAdPassifEp!$E:$E,"1.Perf",PrdAdPassifEp!$G:$G,adProjCdCanton)</f>
        <v>0</v>
      </c>
      <c r="L115" s="38">
        <f>SUMIFS(PrdAdPassifEp!$AA:$AA,PrdAdPassifEp!$B:$B,adProjChocS2,PrdAdPassifEp!$C:$C,adProjScenario,PrdAdPassifEp!$D:$D,adProjIteration,PrdAdPassifEp!$E:$E,"1.Perf",PrdAdPassifEp!$G:$G,adProjCdCanton)</f>
        <v>0</v>
      </c>
      <c r="M115" s="38">
        <f>SUMIFS(PrdAdPassifEp!$AA:$AA,PrdAdPassifEp!$B:$B,adProjChocS2,PrdAdPassifEp!$C:$C,adProjScenario,PrdAdPassifEp!$D:$D,adProjIteration,PrdAdPassifEp!$E:$E,"1.Perf",PrdAdPassifEp!$G:$G,adProjCdCanton)</f>
        <v>0</v>
      </c>
      <c r="N115" s="38">
        <f>SUMIFS(PrdAdPassifEp!$AA:$AA,PrdAdPassifEp!$B:$B,adProjChocS2,PrdAdPassifEp!$C:$C,adProjScenario,PrdAdPassifEp!$D:$D,adProjIteration,PrdAdPassifEp!$E:$E,"1.Perf",PrdAdPassifEp!$G:$G,adProjCdCanton)</f>
        <v>0</v>
      </c>
      <c r="O115" s="38">
        <f>SUMIFS(PrdAdPassifEp!$AA:$AA,PrdAdPassifEp!$B:$B,adProjChocS2,PrdAdPassifEp!$C:$C,adProjScenario,PrdAdPassifEp!$D:$D,adProjIteration,PrdAdPassifEp!$E:$E,"1.Perf",PrdAdPassifEp!$G:$G,adProjCdCanton)</f>
        <v>0</v>
      </c>
      <c r="P115" s="38">
        <f>SUMIFS(PrdAdPassifEp!$AA:$AA,PrdAdPassifEp!$B:$B,adProjChocS2,PrdAdPassifEp!$C:$C,adProjScenario,PrdAdPassifEp!$D:$D,adProjIteration,PrdAdPassifEp!$E:$E,"1.Perf",PrdAdPassifEp!$G:$G,adProjCdCanton)</f>
        <v>0</v>
      </c>
      <c r="Q115" s="38">
        <f>SUMIFS(PrdAdPassifEp!$AA:$AA,PrdAdPassifEp!$B:$B,adProjChocS2,PrdAdPassifEp!$C:$C,adProjScenario,PrdAdPassifEp!$D:$D,adProjIteration,PrdAdPassifEp!$E:$E,"1.Perf",PrdAdPassifEp!$G:$G,adProjCdCanton)</f>
        <v>0</v>
      </c>
      <c r="R115" s="38">
        <f>SUMIFS(PrdAdPassifEp!$AA:$AA,PrdAdPassifEp!$B:$B,adProjChocS2,PrdAdPassifEp!$C:$C,adProjScenario,PrdAdPassifEp!$D:$D,adProjIteration,PrdAdPassifEp!$E:$E,"1.Perf",PrdAdPassifEp!$G:$G,adProjCdCanton)</f>
        <v>0</v>
      </c>
      <c r="S115" s="38">
        <f>SUMIFS(PrdAdPassifEp!$AA:$AA,PrdAdPassifEp!$B:$B,adProjChocS2,PrdAdPassifEp!$C:$C,adProjScenario,PrdAdPassifEp!$D:$D,adProjIteration,PrdAdPassifEp!$E:$E,"1.Perf",PrdAdPassifEp!$G:$G,adProjCdCanton)</f>
        <v>0</v>
      </c>
      <c r="T115" s="38">
        <f>SUMIFS(PrdAdPassifEp!$AA:$AA,PrdAdPassifEp!$B:$B,adProjChocS2,PrdAdPassifEp!$C:$C,adProjScenario,PrdAdPassifEp!$D:$D,adProjIteration,PrdAdPassifEp!$E:$E,"1.Perf",PrdAdPassifEp!$G:$G,adProjCdCanton)</f>
        <v>0</v>
      </c>
      <c r="U115" s="38">
        <f>SUMIFS(PrdAdPassifEp!$AA:$AA,PrdAdPassifEp!$B:$B,adProjChocS2,PrdAdPassifEp!$C:$C,adProjScenario,PrdAdPassifEp!$D:$D,adProjIteration,PrdAdPassifEp!$E:$E,"1.Perf",PrdAdPassifEp!$G:$G,adProjCdCanton)</f>
        <v>0</v>
      </c>
      <c r="V115" s="38">
        <f>SUMIFS(PrdAdPassifEp!$AA:$AA,PrdAdPassifEp!$B:$B,adProjChocS2,PrdAdPassifEp!$C:$C,adProjScenario,PrdAdPassifEp!$D:$D,adProjIteration,PrdAdPassifEp!$E:$E,"1.Perf",PrdAdPassifEp!$G:$G,adProjCdCanton)</f>
        <v>0</v>
      </c>
      <c r="W115" s="38">
        <f>SUMIFS(PrdAdPassifEp!$AA:$AA,PrdAdPassifEp!$B:$B,adProjChocS2,PrdAdPassifEp!$C:$C,adProjScenario,PrdAdPassifEp!$D:$D,adProjIteration,PrdAdPassifEp!$E:$E,"1.Perf",PrdAdPassifEp!$G:$G,adProjCdCanton)</f>
        <v>0</v>
      </c>
      <c r="X115" s="38">
        <f>SUMIFS(PrdAdPassifEp!$AA:$AA,PrdAdPassifEp!$B:$B,adProjChocS2,PrdAdPassifEp!$C:$C,adProjScenario,PrdAdPassifEp!$D:$D,adProjIteration,PrdAdPassifEp!$E:$E,"1.Perf",PrdAdPassifEp!$G:$G,adProjCdCanton)</f>
        <v>0</v>
      </c>
      <c r="Y115" s="38">
        <f>SUMIFS(PrdAdPassifEp!$AA:$AA,PrdAdPassifEp!$B:$B,adProjChocS2,PrdAdPassifEp!$C:$C,adProjScenario,PrdAdPassifEp!$D:$D,adProjIteration,PrdAdPassifEp!$E:$E,"1.Perf",PrdAdPassifEp!$G:$G,adProjCdCanton)</f>
        <v>0</v>
      </c>
      <c r="Z115" s="38">
        <f>SUMIFS(PrdAdPassifEp!$AA:$AA,PrdAdPassifEp!$B:$B,adProjChocS2,PrdAdPassifEp!$C:$C,adProjScenario,PrdAdPassifEp!$D:$D,adProjIteration,PrdAdPassifEp!$E:$E,"1.Perf",PrdAdPassifEp!$G:$G,adProjCdCanton)</f>
        <v>0</v>
      </c>
      <c r="AA115" s="38">
        <f>SUMIFS(PrdAdPassifEp!$AA:$AA,PrdAdPassifEp!$B:$B,adProjChocS2,PrdAdPassifEp!$C:$C,adProjScenario,PrdAdPassifEp!$D:$D,adProjIteration,PrdAdPassifEp!$E:$E,"1.Perf",PrdAdPassifEp!$G:$G,adProjCdCanton)</f>
        <v>0</v>
      </c>
      <c r="AB115" s="38">
        <f>SUMIFS(PrdAdPassifEp!$AA:$AA,PrdAdPassifEp!$B:$B,adProjChocS2,PrdAdPassifEp!$C:$C,adProjScenario,PrdAdPassifEp!$D:$D,adProjIteration,PrdAdPassifEp!$E:$E,"1.Perf",PrdAdPassifEp!$G:$G,adProjCdCanton)</f>
        <v>0</v>
      </c>
      <c r="AC115" s="38">
        <f>SUMIFS(PrdAdPassifEp!$AA:$AA,PrdAdPassifEp!$B:$B,adProjChocS2,PrdAdPassifEp!$C:$C,adProjScenario,PrdAdPassifEp!$D:$D,adProjIteration,PrdAdPassifEp!$E:$E,"1.Perf",PrdAdPassifEp!$G:$G,adProjCdCanton)</f>
        <v>0</v>
      </c>
      <c r="AD115" s="38">
        <f>SUMIFS(PrdAdPassifEp!$AA:$AA,PrdAdPassifEp!$B:$B,adProjChocS2,PrdAdPassifEp!$C:$C,adProjScenario,PrdAdPassifEp!$D:$D,adProjIteration,PrdAdPassifEp!$E:$E,"1.Perf",PrdAdPassifEp!$G:$G,adProjCdCanton)</f>
        <v>0</v>
      </c>
      <c r="AE115" s="38">
        <f>SUMIFS(PrdAdPassifEp!$AA:$AA,PrdAdPassifEp!$B:$B,adProjChocS2,PrdAdPassifEp!$C:$C,adProjScenario,PrdAdPassifEp!$D:$D,adProjIteration,PrdAdPassifEp!$E:$E,"1.Perf",PrdAdPassifEp!$G:$G,adProjCdCanton)</f>
        <v>0</v>
      </c>
      <c r="AF115" s="38">
        <f>SUMIFS(PrdAdPassifEp!$AA:$AA,PrdAdPassifEp!$B:$B,adProjChocS2,PrdAdPassifEp!$C:$C,adProjScenario,PrdAdPassifEp!$D:$D,adProjIteration,PrdAdPassifEp!$E:$E,"1.Perf",PrdAdPassifEp!$G:$G,adProjCdCanton)</f>
        <v>0</v>
      </c>
      <c r="AG115" s="38">
        <f>SUMIFS(PrdAdPassifEp!$AA:$AA,PrdAdPassifEp!$B:$B,adProjChocS2,PrdAdPassifEp!$C:$C,adProjScenario,PrdAdPassifEp!$D:$D,adProjIteration,PrdAdPassifEp!$E:$E,"1.Perf",PrdAdPassifEp!$G:$G,adProjCdCanton)</f>
        <v>0</v>
      </c>
      <c r="AH115" s="38">
        <f>SUMIFS(PrdAdPassifEp!$AA:$AA,PrdAdPassifEp!$B:$B,adProjChocS2,PrdAdPassifEp!$C:$C,adProjScenario,PrdAdPassifEp!$D:$D,adProjIteration,PrdAdPassifEp!$E:$E,"1.Perf",PrdAdPassifEp!$G:$G,adProjCdCanton)</f>
        <v>0</v>
      </c>
      <c r="AI115" s="38">
        <f>SUMIFS(PrdAdPassifEp!$AA:$AA,PrdAdPassifEp!$B:$B,adProjChocS2,PrdAdPassifEp!$C:$C,adProjScenario,PrdAdPassifEp!$D:$D,adProjIteration,PrdAdPassifEp!$E:$E,"1.Perf",PrdAdPassifEp!$G:$G,adProjCdCanton)</f>
        <v>0</v>
      </c>
      <c r="AJ115" s="38">
        <f>SUMIFS(PrdAdPassifEp!$AA:$AA,PrdAdPassifEp!$B:$B,adProjChocS2,PrdAdPassifEp!$C:$C,adProjScenario,PrdAdPassifEp!$D:$D,adProjIteration,PrdAdPassifEp!$E:$E,"1.Perf",PrdAdPassifEp!$G:$G,adProjCdCanton)</f>
        <v>0</v>
      </c>
      <c r="AK115" s="38">
        <f>SUMIFS(PrdAdPassifEp!$AA:$AA,PrdAdPassifEp!$B:$B,adProjChocS2,PrdAdPassifEp!$C:$C,adProjScenario,PrdAdPassifEp!$D:$D,adProjIteration,PrdAdPassifEp!$E:$E,"1.Perf",PrdAdPassifEp!$G:$G,adProjCdCanton)</f>
        <v>0</v>
      </c>
      <c r="AL115" s="38">
        <f>SUMIFS(PrdAdPassifEp!$AA:$AA,PrdAdPassifEp!$B:$B,adProjChocS2,PrdAdPassifEp!$C:$C,adProjScenario,PrdAdPassifEp!$D:$D,adProjIteration,PrdAdPassifEp!$E:$E,"1.Perf",PrdAdPassifEp!$G:$G,adProjCdCanton)</f>
        <v>0</v>
      </c>
      <c r="AM115" s="38">
        <f>SUMIFS(PrdAdPassifEp!$AA:$AA,PrdAdPassifEp!$B:$B,adProjChocS2,PrdAdPassifEp!$C:$C,adProjScenario,PrdAdPassifEp!$D:$D,adProjIteration,PrdAdPassifEp!$E:$E,"1.Perf",PrdAdPassifEp!$G:$G,adProjCdCanton)</f>
        <v>0</v>
      </c>
      <c r="AN115" s="38">
        <f>SUMIFS(PrdAdPassifEp!$AA:$AA,PrdAdPassifEp!$B:$B,adProjChocS2,PrdAdPassifEp!$C:$C,adProjScenario,PrdAdPassifEp!$D:$D,adProjIteration,PrdAdPassifEp!$E:$E,"1.Perf",PrdAdPassifEp!$G:$G,adProjCdCanton)</f>
        <v>0</v>
      </c>
      <c r="AO115" s="38">
        <f>SUMIFS(PrdAdPassifEp!$AA:$AA,PrdAdPassifEp!$B:$B,adProjChocS2,PrdAdPassifEp!$C:$C,adProjScenario,PrdAdPassifEp!$D:$D,adProjIteration,PrdAdPassifEp!$E:$E,"1.Perf",PrdAdPassifEp!$G:$G,adProjCdCanton)</f>
        <v>0</v>
      </c>
      <c r="AP115" s="38">
        <f>SUMIFS(PrdAdPassifEp!$AA:$AA,PrdAdPassifEp!$B:$B,adProjChocS2,PrdAdPassifEp!$C:$C,adProjScenario,PrdAdPassifEp!$D:$D,adProjIteration,PrdAdPassifEp!$E:$E,"1.Perf",PrdAdPassifEp!$G:$G,adProjCdCanton)</f>
        <v>0</v>
      </c>
      <c r="AQ115" s="38">
        <f>SUMIFS(PrdAdPassifEp!$AA:$AA,PrdAdPassifEp!$B:$B,adProjChocS2,PrdAdPassifEp!$C:$C,adProjScenario,PrdAdPassifEp!$D:$D,adProjIteration,PrdAdPassifEp!$E:$E,"1.Perf",PrdAdPassifEp!$G:$G,adProjCdCanton)</f>
        <v>0</v>
      </c>
      <c r="AR115" s="38">
        <f>SUMIFS(PrdAdPassifEp!$AA:$AA,PrdAdPassifEp!$B:$B,adProjChocS2,PrdAdPassifEp!$C:$C,adProjScenario,PrdAdPassifEp!$D:$D,adProjIteration,PrdAdPassifEp!$E:$E,"1.Perf",PrdAdPassifEp!$G:$G,adProjCdCanton)</f>
        <v>0</v>
      </c>
      <c r="AS115" s="38">
        <f>SUMIFS(PrdAdPassifEp!$AA:$AA,PrdAdPassifEp!$B:$B,adProjChocS2,PrdAdPassifEp!$C:$C,adProjScenario,PrdAdPassifEp!$D:$D,adProjIteration,PrdAdPassifEp!$E:$E,"1.Perf",PrdAdPassifEp!$G:$G,adProjCdCanton)</f>
        <v>0</v>
      </c>
      <c r="AT115" s="38">
        <f>SUMIFS(PrdAdPassifEp!$AA:$AA,PrdAdPassifEp!$B:$B,adProjChocS2,PrdAdPassifEp!$C:$C,adProjScenario,PrdAdPassifEp!$D:$D,adProjIteration,PrdAdPassifEp!$E:$E,"1.Perf",PrdAdPassifEp!$G:$G,adProjCdCanton)</f>
        <v>0</v>
      </c>
      <c r="AU115" s="38">
        <f>SUMIFS(PrdAdPassifEp!$AA:$AA,PrdAdPassifEp!$B:$B,adProjChocS2,PrdAdPassifEp!$C:$C,adProjScenario,PrdAdPassifEp!$D:$D,adProjIteration,PrdAdPassifEp!$E:$E,"1.Perf",PrdAdPassifEp!$G:$G,adProjCdCanton)</f>
        <v>0</v>
      </c>
      <c r="AV115" s="38">
        <f>SUMIFS(PrdAdPassifEp!$AA:$AA,PrdAdPassifEp!$B:$B,adProjChocS2,PrdAdPassifEp!$C:$C,adProjScenario,PrdAdPassifEp!$D:$D,adProjIteration,PrdAdPassifEp!$E:$E,"1.Perf",PrdAdPassifEp!$G:$G,adProjCdCanton)</f>
        <v>0</v>
      </c>
      <c r="AW115" s="38">
        <f>SUMIFS(PrdAdPassifEp!$AA:$AA,PrdAdPassifEp!$B:$B,adProjChocS2,PrdAdPassifEp!$C:$C,adProjScenario,PrdAdPassifEp!$D:$D,adProjIteration,PrdAdPassifEp!$E:$E,"1.Perf",PrdAdPassifEp!$G:$G,adProjCdCanton)</f>
        <v>0</v>
      </c>
      <c r="AX115" s="38">
        <f>SUMIFS(PrdAdPassifEp!$AA:$AA,PrdAdPassifEp!$B:$B,adProjChocS2,PrdAdPassifEp!$C:$C,adProjScenario,PrdAdPassifEp!$D:$D,adProjIteration,PrdAdPassifEp!$E:$E,"1.Perf",PrdAdPassifEp!$G:$G,adProjCdCanton)</f>
        <v>0</v>
      </c>
      <c r="AY115" s="38">
        <f>SUMIFS(PrdAdPassifEp!$AA:$AA,PrdAdPassifEp!$B:$B,adProjChocS2,PrdAdPassifEp!$C:$C,adProjScenario,PrdAdPassifEp!$D:$D,adProjIteration,PrdAdPassifEp!$E:$E,"1.Perf",PrdAdPassifEp!$G:$G,adProjCdCanton)</f>
        <v>0</v>
      </c>
      <c r="AZ115" s="38">
        <f>SUMIFS(PrdAdPassifEp!$AA:$AA,PrdAdPassifEp!$B:$B,adProjChocS2,PrdAdPassifEp!$C:$C,adProjScenario,PrdAdPassifEp!$D:$D,adProjIteration,PrdAdPassifEp!$E:$E,"1.Perf",PrdAdPassifEp!$G:$G,adProjCdCanton)</f>
        <v>0</v>
      </c>
      <c r="BA115" s="38">
        <f>SUMIFS(PrdAdPassifEp!$AA:$AA,PrdAdPassifEp!$B:$B,adProjChocS2,PrdAdPassifEp!$C:$C,adProjScenario,PrdAdPassifEp!$D:$D,adProjIteration,PrdAdPassifEp!$E:$E,"1.Perf",PrdAdPassifEp!$G:$G,adProjCdCanton)</f>
        <v>0</v>
      </c>
      <c r="BB115" s="38">
        <f>SUMIFS(PrdAdPassifEp!$AA:$AA,PrdAdPassifEp!$B:$B,adProjChocS2,PrdAdPassifEp!$C:$C,adProjScenario,PrdAdPassifEp!$D:$D,adProjIteration,PrdAdPassifEp!$E:$E,"1.Perf",PrdAdPassifEp!$G:$G,adProjCdCanton)</f>
        <v>0</v>
      </c>
    </row>
    <row r="116" spans="1:54" ht="15.75" customHeight="1" x14ac:dyDescent="0.3">
      <c r="A116" s="16"/>
      <c r="B116" s="34"/>
      <c r="C116" s="37" t="s">
        <v>95</v>
      </c>
      <c r="D116" s="38">
        <f>SUMIFS(PrdAdPassifEp!$AD:$AD,PrdAdPassifEp!$B:$B,adProjChocS2,PrdAdPassifEp!$C:$C,adProjScenario,PrdAdPassifEp!$D:$D,adProjIteration,PrdAdPassifEp!$E:$E,"1.Perf",PrdAdPassifEp!$G:$G,adProjCdCanton)</f>
        <v>0</v>
      </c>
      <c r="E116" s="38">
        <f>SUMIFS(PrdAdPassifEp!$AD:$AD,PrdAdPassifEp!$B:$B,adProjChocS2,PrdAdPassifEp!$C:$C,adProjScenario,PrdAdPassifEp!$D:$D,adProjIteration,PrdAdPassifEp!$E:$E,"1.Perf",PrdAdPassifEp!$G:$G,adProjCdCanton)</f>
        <v>0</v>
      </c>
      <c r="F116" s="38">
        <f>SUMIFS(PrdAdPassifEp!$AD:$AD,PrdAdPassifEp!$B:$B,adProjChocS2,PrdAdPassifEp!$C:$C,adProjScenario,PrdAdPassifEp!$D:$D,adProjIteration,PrdAdPassifEp!$E:$E,"1.Perf",PrdAdPassifEp!$G:$G,adProjCdCanton)</f>
        <v>0</v>
      </c>
      <c r="G116" s="38">
        <f>SUMIFS(PrdAdPassifEp!$AD:$AD,PrdAdPassifEp!$B:$B,adProjChocS2,PrdAdPassifEp!$C:$C,adProjScenario,PrdAdPassifEp!$D:$D,adProjIteration,PrdAdPassifEp!$E:$E,"1.Perf",PrdAdPassifEp!$G:$G,adProjCdCanton)</f>
        <v>0</v>
      </c>
      <c r="H116" s="38">
        <f>SUMIFS(PrdAdPassifEp!$AD:$AD,PrdAdPassifEp!$B:$B,adProjChocS2,PrdAdPassifEp!$C:$C,adProjScenario,PrdAdPassifEp!$D:$D,adProjIteration,PrdAdPassifEp!$E:$E,"1.Perf",PrdAdPassifEp!$G:$G,adProjCdCanton)</f>
        <v>0</v>
      </c>
      <c r="I116" s="38">
        <f>SUMIFS(PrdAdPassifEp!$AD:$AD,PrdAdPassifEp!$B:$B,adProjChocS2,PrdAdPassifEp!$C:$C,adProjScenario,PrdAdPassifEp!$D:$D,adProjIteration,PrdAdPassifEp!$E:$E,"1.Perf",PrdAdPassifEp!$G:$G,adProjCdCanton)</f>
        <v>0</v>
      </c>
      <c r="J116" s="38">
        <f>SUMIFS(PrdAdPassifEp!$AD:$AD,PrdAdPassifEp!$B:$B,adProjChocS2,PrdAdPassifEp!$C:$C,adProjScenario,PrdAdPassifEp!$D:$D,adProjIteration,PrdAdPassifEp!$E:$E,"1.Perf",PrdAdPassifEp!$G:$G,adProjCdCanton)</f>
        <v>0</v>
      </c>
      <c r="K116" s="38">
        <f>SUMIFS(PrdAdPassifEp!$AD:$AD,PrdAdPassifEp!$B:$B,adProjChocS2,PrdAdPassifEp!$C:$C,adProjScenario,PrdAdPassifEp!$D:$D,adProjIteration,PrdAdPassifEp!$E:$E,"1.Perf",PrdAdPassifEp!$G:$G,adProjCdCanton)</f>
        <v>0</v>
      </c>
      <c r="L116" s="38">
        <f>SUMIFS(PrdAdPassifEp!$AD:$AD,PrdAdPassifEp!$B:$B,adProjChocS2,PrdAdPassifEp!$C:$C,adProjScenario,PrdAdPassifEp!$D:$D,adProjIteration,PrdAdPassifEp!$E:$E,"1.Perf",PrdAdPassifEp!$G:$G,adProjCdCanton)</f>
        <v>0</v>
      </c>
      <c r="M116" s="38">
        <f>SUMIFS(PrdAdPassifEp!$AD:$AD,PrdAdPassifEp!$B:$B,adProjChocS2,PrdAdPassifEp!$C:$C,adProjScenario,PrdAdPassifEp!$D:$D,adProjIteration,PrdAdPassifEp!$E:$E,"1.Perf",PrdAdPassifEp!$G:$G,adProjCdCanton)</f>
        <v>0</v>
      </c>
      <c r="N116" s="38">
        <f>SUMIFS(PrdAdPassifEp!$AD:$AD,PrdAdPassifEp!$B:$B,adProjChocS2,PrdAdPassifEp!$C:$C,adProjScenario,PrdAdPassifEp!$D:$D,adProjIteration,PrdAdPassifEp!$E:$E,"1.Perf",PrdAdPassifEp!$G:$G,adProjCdCanton)</f>
        <v>0</v>
      </c>
      <c r="O116" s="38">
        <f>SUMIFS(PrdAdPassifEp!$AD:$AD,PrdAdPassifEp!$B:$B,adProjChocS2,PrdAdPassifEp!$C:$C,adProjScenario,PrdAdPassifEp!$D:$D,adProjIteration,PrdAdPassifEp!$E:$E,"1.Perf",PrdAdPassifEp!$G:$G,adProjCdCanton)</f>
        <v>0</v>
      </c>
      <c r="P116" s="38">
        <f>SUMIFS(PrdAdPassifEp!$AD:$AD,PrdAdPassifEp!$B:$B,adProjChocS2,PrdAdPassifEp!$C:$C,adProjScenario,PrdAdPassifEp!$D:$D,adProjIteration,PrdAdPassifEp!$E:$E,"1.Perf",PrdAdPassifEp!$G:$G,adProjCdCanton)</f>
        <v>0</v>
      </c>
      <c r="Q116" s="38">
        <f>SUMIFS(PrdAdPassifEp!$AD:$AD,PrdAdPassifEp!$B:$B,adProjChocS2,PrdAdPassifEp!$C:$C,adProjScenario,PrdAdPassifEp!$D:$D,adProjIteration,PrdAdPassifEp!$E:$E,"1.Perf",PrdAdPassifEp!$G:$G,adProjCdCanton)</f>
        <v>0</v>
      </c>
      <c r="R116" s="38">
        <f>SUMIFS(PrdAdPassifEp!$AD:$AD,PrdAdPassifEp!$B:$B,adProjChocS2,PrdAdPassifEp!$C:$C,adProjScenario,PrdAdPassifEp!$D:$D,adProjIteration,PrdAdPassifEp!$E:$E,"1.Perf",PrdAdPassifEp!$G:$G,adProjCdCanton)</f>
        <v>0</v>
      </c>
      <c r="S116" s="38">
        <f>SUMIFS(PrdAdPassifEp!$AD:$AD,PrdAdPassifEp!$B:$B,adProjChocS2,PrdAdPassifEp!$C:$C,adProjScenario,PrdAdPassifEp!$D:$D,adProjIteration,PrdAdPassifEp!$E:$E,"1.Perf",PrdAdPassifEp!$G:$G,adProjCdCanton)</f>
        <v>0</v>
      </c>
      <c r="T116" s="38">
        <f>SUMIFS(PrdAdPassifEp!$AD:$AD,PrdAdPassifEp!$B:$B,adProjChocS2,PrdAdPassifEp!$C:$C,adProjScenario,PrdAdPassifEp!$D:$D,adProjIteration,PrdAdPassifEp!$E:$E,"1.Perf",PrdAdPassifEp!$G:$G,adProjCdCanton)</f>
        <v>0</v>
      </c>
      <c r="U116" s="38">
        <f>SUMIFS(PrdAdPassifEp!$AD:$AD,PrdAdPassifEp!$B:$B,adProjChocS2,PrdAdPassifEp!$C:$C,adProjScenario,PrdAdPassifEp!$D:$D,adProjIteration,PrdAdPassifEp!$E:$E,"1.Perf",PrdAdPassifEp!$G:$G,adProjCdCanton)</f>
        <v>0</v>
      </c>
      <c r="V116" s="38">
        <f>SUMIFS(PrdAdPassifEp!$AD:$AD,PrdAdPassifEp!$B:$B,adProjChocS2,PrdAdPassifEp!$C:$C,adProjScenario,PrdAdPassifEp!$D:$D,adProjIteration,PrdAdPassifEp!$E:$E,"1.Perf",PrdAdPassifEp!$G:$G,adProjCdCanton)</f>
        <v>0</v>
      </c>
      <c r="W116" s="38">
        <f>SUMIFS(PrdAdPassifEp!$AD:$AD,PrdAdPassifEp!$B:$B,adProjChocS2,PrdAdPassifEp!$C:$C,adProjScenario,PrdAdPassifEp!$D:$D,adProjIteration,PrdAdPassifEp!$E:$E,"1.Perf",PrdAdPassifEp!$G:$G,adProjCdCanton)</f>
        <v>0</v>
      </c>
      <c r="X116" s="38">
        <f>SUMIFS(PrdAdPassifEp!$AD:$AD,PrdAdPassifEp!$B:$B,adProjChocS2,PrdAdPassifEp!$C:$C,adProjScenario,PrdAdPassifEp!$D:$D,adProjIteration,PrdAdPassifEp!$E:$E,"1.Perf",PrdAdPassifEp!$G:$G,adProjCdCanton)</f>
        <v>0</v>
      </c>
      <c r="Y116" s="38">
        <f>SUMIFS(PrdAdPassifEp!$AD:$AD,PrdAdPassifEp!$B:$B,adProjChocS2,PrdAdPassifEp!$C:$C,adProjScenario,PrdAdPassifEp!$D:$D,adProjIteration,PrdAdPassifEp!$E:$E,"1.Perf",PrdAdPassifEp!$G:$G,adProjCdCanton)</f>
        <v>0</v>
      </c>
      <c r="Z116" s="38">
        <f>SUMIFS(PrdAdPassifEp!$AD:$AD,PrdAdPassifEp!$B:$B,adProjChocS2,PrdAdPassifEp!$C:$C,adProjScenario,PrdAdPassifEp!$D:$D,adProjIteration,PrdAdPassifEp!$E:$E,"1.Perf",PrdAdPassifEp!$G:$G,adProjCdCanton)</f>
        <v>0</v>
      </c>
      <c r="AA116" s="38">
        <f>SUMIFS(PrdAdPassifEp!$AD:$AD,PrdAdPassifEp!$B:$B,adProjChocS2,PrdAdPassifEp!$C:$C,adProjScenario,PrdAdPassifEp!$D:$D,adProjIteration,PrdAdPassifEp!$E:$E,"1.Perf",PrdAdPassifEp!$G:$G,adProjCdCanton)</f>
        <v>0</v>
      </c>
      <c r="AB116" s="38">
        <f>SUMIFS(PrdAdPassifEp!$AD:$AD,PrdAdPassifEp!$B:$B,adProjChocS2,PrdAdPassifEp!$C:$C,adProjScenario,PrdAdPassifEp!$D:$D,adProjIteration,PrdAdPassifEp!$E:$E,"1.Perf",PrdAdPassifEp!$G:$G,adProjCdCanton)</f>
        <v>0</v>
      </c>
      <c r="AC116" s="38">
        <f>SUMIFS(PrdAdPassifEp!$AD:$AD,PrdAdPassifEp!$B:$B,adProjChocS2,PrdAdPassifEp!$C:$C,adProjScenario,PrdAdPassifEp!$D:$D,adProjIteration,PrdAdPassifEp!$E:$E,"1.Perf",PrdAdPassifEp!$G:$G,adProjCdCanton)</f>
        <v>0</v>
      </c>
      <c r="AD116" s="38">
        <f>SUMIFS(PrdAdPassifEp!$AD:$AD,PrdAdPassifEp!$B:$B,adProjChocS2,PrdAdPassifEp!$C:$C,adProjScenario,PrdAdPassifEp!$D:$D,adProjIteration,PrdAdPassifEp!$E:$E,"1.Perf",PrdAdPassifEp!$G:$G,adProjCdCanton)</f>
        <v>0</v>
      </c>
      <c r="AE116" s="38">
        <f>SUMIFS(PrdAdPassifEp!$AD:$AD,PrdAdPassifEp!$B:$B,adProjChocS2,PrdAdPassifEp!$C:$C,adProjScenario,PrdAdPassifEp!$D:$D,adProjIteration,PrdAdPassifEp!$E:$E,"1.Perf",PrdAdPassifEp!$G:$G,adProjCdCanton)</f>
        <v>0</v>
      </c>
      <c r="AF116" s="38">
        <f>SUMIFS(PrdAdPassifEp!$AD:$AD,PrdAdPassifEp!$B:$B,adProjChocS2,PrdAdPassifEp!$C:$C,adProjScenario,PrdAdPassifEp!$D:$D,adProjIteration,PrdAdPassifEp!$E:$E,"1.Perf",PrdAdPassifEp!$G:$G,adProjCdCanton)</f>
        <v>0</v>
      </c>
      <c r="AG116" s="38">
        <f>SUMIFS(PrdAdPassifEp!$AD:$AD,PrdAdPassifEp!$B:$B,adProjChocS2,PrdAdPassifEp!$C:$C,adProjScenario,PrdAdPassifEp!$D:$D,adProjIteration,PrdAdPassifEp!$E:$E,"1.Perf",PrdAdPassifEp!$G:$G,adProjCdCanton)</f>
        <v>0</v>
      </c>
      <c r="AH116" s="38">
        <f>SUMIFS(PrdAdPassifEp!$AD:$AD,PrdAdPassifEp!$B:$B,adProjChocS2,PrdAdPassifEp!$C:$C,adProjScenario,PrdAdPassifEp!$D:$D,adProjIteration,PrdAdPassifEp!$E:$E,"1.Perf",PrdAdPassifEp!$G:$G,adProjCdCanton)</f>
        <v>0</v>
      </c>
      <c r="AI116" s="38">
        <f>SUMIFS(PrdAdPassifEp!$AD:$AD,PrdAdPassifEp!$B:$B,adProjChocS2,PrdAdPassifEp!$C:$C,adProjScenario,PrdAdPassifEp!$D:$D,adProjIteration,PrdAdPassifEp!$E:$E,"1.Perf",PrdAdPassifEp!$G:$G,adProjCdCanton)</f>
        <v>0</v>
      </c>
      <c r="AJ116" s="38">
        <f>SUMIFS(PrdAdPassifEp!$AD:$AD,PrdAdPassifEp!$B:$B,adProjChocS2,PrdAdPassifEp!$C:$C,adProjScenario,PrdAdPassifEp!$D:$D,adProjIteration,PrdAdPassifEp!$E:$E,"1.Perf",PrdAdPassifEp!$G:$G,adProjCdCanton)</f>
        <v>0</v>
      </c>
      <c r="AK116" s="38">
        <f>SUMIFS(PrdAdPassifEp!$AD:$AD,PrdAdPassifEp!$B:$B,adProjChocS2,PrdAdPassifEp!$C:$C,adProjScenario,PrdAdPassifEp!$D:$D,adProjIteration,PrdAdPassifEp!$E:$E,"1.Perf",PrdAdPassifEp!$G:$G,adProjCdCanton)</f>
        <v>0</v>
      </c>
      <c r="AL116" s="38">
        <f>SUMIFS(PrdAdPassifEp!$AD:$AD,PrdAdPassifEp!$B:$B,adProjChocS2,PrdAdPassifEp!$C:$C,adProjScenario,PrdAdPassifEp!$D:$D,adProjIteration,PrdAdPassifEp!$E:$E,"1.Perf",PrdAdPassifEp!$G:$G,adProjCdCanton)</f>
        <v>0</v>
      </c>
      <c r="AM116" s="38">
        <f>SUMIFS(PrdAdPassifEp!$AD:$AD,PrdAdPassifEp!$B:$B,adProjChocS2,PrdAdPassifEp!$C:$C,adProjScenario,PrdAdPassifEp!$D:$D,adProjIteration,PrdAdPassifEp!$E:$E,"1.Perf",PrdAdPassifEp!$G:$G,adProjCdCanton)</f>
        <v>0</v>
      </c>
      <c r="AN116" s="38">
        <f>SUMIFS(PrdAdPassifEp!$AD:$AD,PrdAdPassifEp!$B:$B,adProjChocS2,PrdAdPassifEp!$C:$C,adProjScenario,PrdAdPassifEp!$D:$D,adProjIteration,PrdAdPassifEp!$E:$E,"1.Perf",PrdAdPassifEp!$G:$G,adProjCdCanton)</f>
        <v>0</v>
      </c>
      <c r="AO116" s="38">
        <f>SUMIFS(PrdAdPassifEp!$AD:$AD,PrdAdPassifEp!$B:$B,adProjChocS2,PrdAdPassifEp!$C:$C,adProjScenario,PrdAdPassifEp!$D:$D,adProjIteration,PrdAdPassifEp!$E:$E,"1.Perf",PrdAdPassifEp!$G:$G,adProjCdCanton)</f>
        <v>0</v>
      </c>
      <c r="AP116" s="38">
        <f>SUMIFS(PrdAdPassifEp!$AD:$AD,PrdAdPassifEp!$B:$B,adProjChocS2,PrdAdPassifEp!$C:$C,adProjScenario,PrdAdPassifEp!$D:$D,adProjIteration,PrdAdPassifEp!$E:$E,"1.Perf",PrdAdPassifEp!$G:$G,adProjCdCanton)</f>
        <v>0</v>
      </c>
      <c r="AQ116" s="38">
        <f>SUMIFS(PrdAdPassifEp!$AD:$AD,PrdAdPassifEp!$B:$B,adProjChocS2,PrdAdPassifEp!$C:$C,adProjScenario,PrdAdPassifEp!$D:$D,adProjIteration,PrdAdPassifEp!$E:$E,"1.Perf",PrdAdPassifEp!$G:$G,adProjCdCanton)</f>
        <v>0</v>
      </c>
      <c r="AR116" s="38">
        <f>SUMIFS(PrdAdPassifEp!$AD:$AD,PrdAdPassifEp!$B:$B,adProjChocS2,PrdAdPassifEp!$C:$C,adProjScenario,PrdAdPassifEp!$D:$D,adProjIteration,PrdAdPassifEp!$E:$E,"1.Perf",PrdAdPassifEp!$G:$G,adProjCdCanton)</f>
        <v>0</v>
      </c>
      <c r="AS116" s="38">
        <f>SUMIFS(PrdAdPassifEp!$AD:$AD,PrdAdPassifEp!$B:$B,adProjChocS2,PrdAdPassifEp!$C:$C,adProjScenario,PrdAdPassifEp!$D:$D,adProjIteration,PrdAdPassifEp!$E:$E,"1.Perf",PrdAdPassifEp!$G:$G,adProjCdCanton)</f>
        <v>0</v>
      </c>
      <c r="AT116" s="38">
        <f>SUMIFS(PrdAdPassifEp!$AD:$AD,PrdAdPassifEp!$B:$B,adProjChocS2,PrdAdPassifEp!$C:$C,adProjScenario,PrdAdPassifEp!$D:$D,adProjIteration,PrdAdPassifEp!$E:$E,"1.Perf",PrdAdPassifEp!$G:$G,adProjCdCanton)</f>
        <v>0</v>
      </c>
      <c r="AU116" s="38">
        <f>SUMIFS(PrdAdPassifEp!$AD:$AD,PrdAdPassifEp!$B:$B,adProjChocS2,PrdAdPassifEp!$C:$C,adProjScenario,PrdAdPassifEp!$D:$D,adProjIteration,PrdAdPassifEp!$E:$E,"1.Perf",PrdAdPassifEp!$G:$G,adProjCdCanton)</f>
        <v>0</v>
      </c>
      <c r="AV116" s="38">
        <f>SUMIFS(PrdAdPassifEp!$AD:$AD,PrdAdPassifEp!$B:$B,adProjChocS2,PrdAdPassifEp!$C:$C,adProjScenario,PrdAdPassifEp!$D:$D,adProjIteration,PrdAdPassifEp!$E:$E,"1.Perf",PrdAdPassifEp!$G:$G,adProjCdCanton)</f>
        <v>0</v>
      </c>
      <c r="AW116" s="38">
        <f>SUMIFS(PrdAdPassifEp!$AD:$AD,PrdAdPassifEp!$B:$B,adProjChocS2,PrdAdPassifEp!$C:$C,adProjScenario,PrdAdPassifEp!$D:$D,adProjIteration,PrdAdPassifEp!$E:$E,"1.Perf",PrdAdPassifEp!$G:$G,adProjCdCanton)</f>
        <v>0</v>
      </c>
      <c r="AX116" s="38">
        <f>SUMIFS(PrdAdPassifEp!$AD:$AD,PrdAdPassifEp!$B:$B,adProjChocS2,PrdAdPassifEp!$C:$C,adProjScenario,PrdAdPassifEp!$D:$D,adProjIteration,PrdAdPassifEp!$E:$E,"1.Perf",PrdAdPassifEp!$G:$G,adProjCdCanton)</f>
        <v>0</v>
      </c>
      <c r="AY116" s="38">
        <f>SUMIFS(PrdAdPassifEp!$AD:$AD,PrdAdPassifEp!$B:$B,adProjChocS2,PrdAdPassifEp!$C:$C,adProjScenario,PrdAdPassifEp!$D:$D,adProjIteration,PrdAdPassifEp!$E:$E,"1.Perf",PrdAdPassifEp!$G:$G,adProjCdCanton)</f>
        <v>0</v>
      </c>
      <c r="AZ116" s="38">
        <f>SUMIFS(PrdAdPassifEp!$AD:$AD,PrdAdPassifEp!$B:$B,adProjChocS2,PrdAdPassifEp!$C:$C,adProjScenario,PrdAdPassifEp!$D:$D,adProjIteration,PrdAdPassifEp!$E:$E,"1.Perf",PrdAdPassifEp!$G:$G,adProjCdCanton)</f>
        <v>0</v>
      </c>
      <c r="BA116" s="38">
        <f>SUMIFS(PrdAdPassifEp!$AD:$AD,PrdAdPassifEp!$B:$B,adProjChocS2,PrdAdPassifEp!$C:$C,adProjScenario,PrdAdPassifEp!$D:$D,adProjIteration,PrdAdPassifEp!$E:$E,"1.Perf",PrdAdPassifEp!$G:$G,adProjCdCanton)</f>
        <v>0</v>
      </c>
      <c r="BB116" s="38">
        <f>SUMIFS(PrdAdPassifEp!$AD:$AD,PrdAdPassifEp!$B:$B,adProjChocS2,PrdAdPassifEp!$C:$C,adProjScenario,PrdAdPassifEp!$D:$D,adProjIteration,PrdAdPassifEp!$E:$E,"1.Perf",PrdAdPassifEp!$G:$G,adProjCdCanton)</f>
        <v>0</v>
      </c>
    </row>
    <row r="117" spans="1:54" ht="15.75" customHeight="1" x14ac:dyDescent="0.3">
      <c r="A117" s="16"/>
      <c r="B117" s="34"/>
      <c r="C117" s="37" t="s">
        <v>96</v>
      </c>
      <c r="D117" s="38">
        <f>SUMIFS(PrdAdPassifEp!$X:$X,PrdAdPassifEp!$B:$B,adProjChocS2,PrdAdPassifEp!$C:$C,adProjScenario,PrdAdPassifEp!$D:$D,adProjIteration,PrdAdPassifEp!$E:$E,"1.Perf",PrdAdPassifEp!$G:$G,adProjCdCanton)</f>
        <v>0</v>
      </c>
      <c r="E117" s="38">
        <f>SUMIFS(PrdAdPassifEp!$X:$X,PrdAdPassifEp!$B:$B,adProjChocS2,PrdAdPassifEp!$C:$C,adProjScenario,PrdAdPassifEp!$D:$D,adProjIteration,PrdAdPassifEp!$E:$E,"1.Perf",PrdAdPassifEp!$G:$G,adProjCdCanton)</f>
        <v>0</v>
      </c>
      <c r="F117" s="38">
        <f>SUMIFS(PrdAdPassifEp!$X:$X,PrdAdPassifEp!$B:$B,adProjChocS2,PrdAdPassifEp!$C:$C,adProjScenario,PrdAdPassifEp!$D:$D,adProjIteration,PrdAdPassifEp!$E:$E,"1.Perf",PrdAdPassifEp!$G:$G,adProjCdCanton)</f>
        <v>0</v>
      </c>
      <c r="G117" s="38">
        <f>SUMIFS(PrdAdPassifEp!$X:$X,PrdAdPassifEp!$B:$B,adProjChocS2,PrdAdPassifEp!$C:$C,adProjScenario,PrdAdPassifEp!$D:$D,adProjIteration,PrdAdPassifEp!$E:$E,"1.Perf",PrdAdPassifEp!$G:$G,adProjCdCanton)</f>
        <v>0</v>
      </c>
      <c r="H117" s="38">
        <f>SUMIFS(PrdAdPassifEp!$X:$X,PrdAdPassifEp!$B:$B,adProjChocS2,PrdAdPassifEp!$C:$C,adProjScenario,PrdAdPassifEp!$D:$D,adProjIteration,PrdAdPassifEp!$E:$E,"1.Perf",PrdAdPassifEp!$G:$G,adProjCdCanton)</f>
        <v>0</v>
      </c>
      <c r="I117" s="38">
        <f>SUMIFS(PrdAdPassifEp!$X:$X,PrdAdPassifEp!$B:$B,adProjChocS2,PrdAdPassifEp!$C:$C,adProjScenario,PrdAdPassifEp!$D:$D,adProjIteration,PrdAdPassifEp!$E:$E,"1.Perf",PrdAdPassifEp!$G:$G,adProjCdCanton)</f>
        <v>0</v>
      </c>
      <c r="J117" s="38">
        <f>SUMIFS(PrdAdPassifEp!$X:$X,PrdAdPassifEp!$B:$B,adProjChocS2,PrdAdPassifEp!$C:$C,adProjScenario,PrdAdPassifEp!$D:$D,adProjIteration,PrdAdPassifEp!$E:$E,"1.Perf",PrdAdPassifEp!$G:$G,adProjCdCanton)</f>
        <v>0</v>
      </c>
      <c r="K117" s="38">
        <f>SUMIFS(PrdAdPassifEp!$X:$X,PrdAdPassifEp!$B:$B,adProjChocS2,PrdAdPassifEp!$C:$C,adProjScenario,PrdAdPassifEp!$D:$D,adProjIteration,PrdAdPassifEp!$E:$E,"1.Perf",PrdAdPassifEp!$G:$G,adProjCdCanton)</f>
        <v>0</v>
      </c>
      <c r="L117" s="38">
        <f>SUMIFS(PrdAdPassifEp!$X:$X,PrdAdPassifEp!$B:$B,adProjChocS2,PrdAdPassifEp!$C:$C,adProjScenario,PrdAdPassifEp!$D:$D,adProjIteration,PrdAdPassifEp!$E:$E,"1.Perf",PrdAdPassifEp!$G:$G,adProjCdCanton)</f>
        <v>0</v>
      </c>
      <c r="M117" s="38">
        <f>SUMIFS(PrdAdPassifEp!$X:$X,PrdAdPassifEp!$B:$B,adProjChocS2,PrdAdPassifEp!$C:$C,adProjScenario,PrdAdPassifEp!$D:$D,adProjIteration,PrdAdPassifEp!$E:$E,"1.Perf",PrdAdPassifEp!$G:$G,adProjCdCanton)</f>
        <v>0</v>
      </c>
      <c r="N117" s="38">
        <f>SUMIFS(PrdAdPassifEp!$X:$X,PrdAdPassifEp!$B:$B,adProjChocS2,PrdAdPassifEp!$C:$C,adProjScenario,PrdAdPassifEp!$D:$D,adProjIteration,PrdAdPassifEp!$E:$E,"1.Perf",PrdAdPassifEp!$G:$G,adProjCdCanton)</f>
        <v>0</v>
      </c>
      <c r="O117" s="38">
        <f>SUMIFS(PrdAdPassifEp!$X:$X,PrdAdPassifEp!$B:$B,adProjChocS2,PrdAdPassifEp!$C:$C,adProjScenario,PrdAdPassifEp!$D:$D,adProjIteration,PrdAdPassifEp!$E:$E,"1.Perf",PrdAdPassifEp!$G:$G,adProjCdCanton)</f>
        <v>0</v>
      </c>
      <c r="P117" s="38">
        <f>SUMIFS(PrdAdPassifEp!$X:$X,PrdAdPassifEp!$B:$B,adProjChocS2,PrdAdPassifEp!$C:$C,adProjScenario,PrdAdPassifEp!$D:$D,adProjIteration,PrdAdPassifEp!$E:$E,"1.Perf",PrdAdPassifEp!$G:$G,adProjCdCanton)</f>
        <v>0</v>
      </c>
      <c r="Q117" s="38">
        <f>SUMIFS(PrdAdPassifEp!$X:$X,PrdAdPassifEp!$B:$B,adProjChocS2,PrdAdPassifEp!$C:$C,adProjScenario,PrdAdPassifEp!$D:$D,adProjIteration,PrdAdPassifEp!$E:$E,"1.Perf",PrdAdPassifEp!$G:$G,adProjCdCanton)</f>
        <v>0</v>
      </c>
      <c r="R117" s="38">
        <f>SUMIFS(PrdAdPassifEp!$X:$X,PrdAdPassifEp!$B:$B,adProjChocS2,PrdAdPassifEp!$C:$C,adProjScenario,PrdAdPassifEp!$D:$D,adProjIteration,PrdAdPassifEp!$E:$E,"1.Perf",PrdAdPassifEp!$G:$G,adProjCdCanton)</f>
        <v>0</v>
      </c>
      <c r="S117" s="38">
        <f>SUMIFS(PrdAdPassifEp!$X:$X,PrdAdPassifEp!$B:$B,adProjChocS2,PrdAdPassifEp!$C:$C,adProjScenario,PrdAdPassifEp!$D:$D,adProjIteration,PrdAdPassifEp!$E:$E,"1.Perf",PrdAdPassifEp!$G:$G,adProjCdCanton)</f>
        <v>0</v>
      </c>
      <c r="T117" s="38">
        <f>SUMIFS(PrdAdPassifEp!$X:$X,PrdAdPassifEp!$B:$B,adProjChocS2,PrdAdPassifEp!$C:$C,adProjScenario,PrdAdPassifEp!$D:$D,adProjIteration,PrdAdPassifEp!$E:$E,"1.Perf",PrdAdPassifEp!$G:$G,adProjCdCanton)</f>
        <v>0</v>
      </c>
      <c r="U117" s="38">
        <f>SUMIFS(PrdAdPassifEp!$X:$X,PrdAdPassifEp!$B:$B,adProjChocS2,PrdAdPassifEp!$C:$C,adProjScenario,PrdAdPassifEp!$D:$D,adProjIteration,PrdAdPassifEp!$E:$E,"1.Perf",PrdAdPassifEp!$G:$G,adProjCdCanton)</f>
        <v>0</v>
      </c>
      <c r="V117" s="38">
        <f>SUMIFS(PrdAdPassifEp!$X:$X,PrdAdPassifEp!$B:$B,adProjChocS2,PrdAdPassifEp!$C:$C,adProjScenario,PrdAdPassifEp!$D:$D,adProjIteration,PrdAdPassifEp!$E:$E,"1.Perf",PrdAdPassifEp!$G:$G,adProjCdCanton)</f>
        <v>0</v>
      </c>
      <c r="W117" s="38">
        <f>SUMIFS(PrdAdPassifEp!$X:$X,PrdAdPassifEp!$B:$B,adProjChocS2,PrdAdPassifEp!$C:$C,adProjScenario,PrdAdPassifEp!$D:$D,adProjIteration,PrdAdPassifEp!$E:$E,"1.Perf",PrdAdPassifEp!$G:$G,adProjCdCanton)</f>
        <v>0</v>
      </c>
      <c r="X117" s="38">
        <f>SUMIFS(PrdAdPassifEp!$X:$X,PrdAdPassifEp!$B:$B,adProjChocS2,PrdAdPassifEp!$C:$C,adProjScenario,PrdAdPassifEp!$D:$D,adProjIteration,PrdAdPassifEp!$E:$E,"1.Perf",PrdAdPassifEp!$G:$G,adProjCdCanton)</f>
        <v>0</v>
      </c>
      <c r="Y117" s="38">
        <f>SUMIFS(PrdAdPassifEp!$X:$X,PrdAdPassifEp!$B:$B,adProjChocS2,PrdAdPassifEp!$C:$C,adProjScenario,PrdAdPassifEp!$D:$D,adProjIteration,PrdAdPassifEp!$E:$E,"1.Perf",PrdAdPassifEp!$G:$G,adProjCdCanton)</f>
        <v>0</v>
      </c>
      <c r="Z117" s="38">
        <f>SUMIFS(PrdAdPassifEp!$X:$X,PrdAdPassifEp!$B:$B,adProjChocS2,PrdAdPassifEp!$C:$C,adProjScenario,PrdAdPassifEp!$D:$D,adProjIteration,PrdAdPassifEp!$E:$E,"1.Perf",PrdAdPassifEp!$G:$G,adProjCdCanton)</f>
        <v>0</v>
      </c>
      <c r="AA117" s="38">
        <f>SUMIFS(PrdAdPassifEp!$X:$X,PrdAdPassifEp!$B:$B,adProjChocS2,PrdAdPassifEp!$C:$C,adProjScenario,PrdAdPassifEp!$D:$D,adProjIteration,PrdAdPassifEp!$E:$E,"1.Perf",PrdAdPassifEp!$G:$G,adProjCdCanton)</f>
        <v>0</v>
      </c>
      <c r="AB117" s="38">
        <f>SUMIFS(PrdAdPassifEp!$X:$X,PrdAdPassifEp!$B:$B,adProjChocS2,PrdAdPassifEp!$C:$C,adProjScenario,PrdAdPassifEp!$D:$D,adProjIteration,PrdAdPassifEp!$E:$E,"1.Perf",PrdAdPassifEp!$G:$G,adProjCdCanton)</f>
        <v>0</v>
      </c>
      <c r="AC117" s="38">
        <f>SUMIFS(PrdAdPassifEp!$X:$X,PrdAdPassifEp!$B:$B,adProjChocS2,PrdAdPassifEp!$C:$C,adProjScenario,PrdAdPassifEp!$D:$D,adProjIteration,PrdAdPassifEp!$E:$E,"1.Perf",PrdAdPassifEp!$G:$G,adProjCdCanton)</f>
        <v>0</v>
      </c>
      <c r="AD117" s="38">
        <f>SUMIFS(PrdAdPassifEp!$X:$X,PrdAdPassifEp!$B:$B,adProjChocS2,PrdAdPassifEp!$C:$C,adProjScenario,PrdAdPassifEp!$D:$D,adProjIteration,PrdAdPassifEp!$E:$E,"1.Perf",PrdAdPassifEp!$G:$G,adProjCdCanton)</f>
        <v>0</v>
      </c>
      <c r="AE117" s="38">
        <f>SUMIFS(PrdAdPassifEp!$X:$X,PrdAdPassifEp!$B:$B,adProjChocS2,PrdAdPassifEp!$C:$C,adProjScenario,PrdAdPassifEp!$D:$D,adProjIteration,PrdAdPassifEp!$E:$E,"1.Perf",PrdAdPassifEp!$G:$G,adProjCdCanton)</f>
        <v>0</v>
      </c>
      <c r="AF117" s="38">
        <f>SUMIFS(PrdAdPassifEp!$X:$X,PrdAdPassifEp!$B:$B,adProjChocS2,PrdAdPassifEp!$C:$C,adProjScenario,PrdAdPassifEp!$D:$D,adProjIteration,PrdAdPassifEp!$E:$E,"1.Perf",PrdAdPassifEp!$G:$G,adProjCdCanton)</f>
        <v>0</v>
      </c>
      <c r="AG117" s="38">
        <f>SUMIFS(PrdAdPassifEp!$X:$X,PrdAdPassifEp!$B:$B,adProjChocS2,PrdAdPassifEp!$C:$C,adProjScenario,PrdAdPassifEp!$D:$D,adProjIteration,PrdAdPassifEp!$E:$E,"1.Perf",PrdAdPassifEp!$G:$G,adProjCdCanton)</f>
        <v>0</v>
      </c>
      <c r="AH117" s="38">
        <f>SUMIFS(PrdAdPassifEp!$X:$X,PrdAdPassifEp!$B:$B,adProjChocS2,PrdAdPassifEp!$C:$C,adProjScenario,PrdAdPassifEp!$D:$D,adProjIteration,PrdAdPassifEp!$E:$E,"1.Perf",PrdAdPassifEp!$G:$G,adProjCdCanton)</f>
        <v>0</v>
      </c>
      <c r="AI117" s="38">
        <f>SUMIFS(PrdAdPassifEp!$X:$X,PrdAdPassifEp!$B:$B,adProjChocS2,PrdAdPassifEp!$C:$C,adProjScenario,PrdAdPassifEp!$D:$D,adProjIteration,PrdAdPassifEp!$E:$E,"1.Perf",PrdAdPassifEp!$G:$G,adProjCdCanton)</f>
        <v>0</v>
      </c>
      <c r="AJ117" s="38">
        <f>SUMIFS(PrdAdPassifEp!$X:$X,PrdAdPassifEp!$B:$B,adProjChocS2,PrdAdPassifEp!$C:$C,adProjScenario,PrdAdPassifEp!$D:$D,adProjIteration,PrdAdPassifEp!$E:$E,"1.Perf",PrdAdPassifEp!$G:$G,adProjCdCanton)</f>
        <v>0</v>
      </c>
      <c r="AK117" s="38">
        <f>SUMIFS(PrdAdPassifEp!$X:$X,PrdAdPassifEp!$B:$B,adProjChocS2,PrdAdPassifEp!$C:$C,adProjScenario,PrdAdPassifEp!$D:$D,adProjIteration,PrdAdPassifEp!$E:$E,"1.Perf",PrdAdPassifEp!$G:$G,adProjCdCanton)</f>
        <v>0</v>
      </c>
      <c r="AL117" s="38">
        <f>SUMIFS(PrdAdPassifEp!$X:$X,PrdAdPassifEp!$B:$B,adProjChocS2,PrdAdPassifEp!$C:$C,adProjScenario,PrdAdPassifEp!$D:$D,adProjIteration,PrdAdPassifEp!$E:$E,"1.Perf",PrdAdPassifEp!$G:$G,adProjCdCanton)</f>
        <v>0</v>
      </c>
      <c r="AM117" s="38">
        <f>SUMIFS(PrdAdPassifEp!$X:$X,PrdAdPassifEp!$B:$B,adProjChocS2,PrdAdPassifEp!$C:$C,adProjScenario,PrdAdPassifEp!$D:$D,adProjIteration,PrdAdPassifEp!$E:$E,"1.Perf",PrdAdPassifEp!$G:$G,adProjCdCanton)</f>
        <v>0</v>
      </c>
      <c r="AN117" s="38">
        <f>SUMIFS(PrdAdPassifEp!$X:$X,PrdAdPassifEp!$B:$B,adProjChocS2,PrdAdPassifEp!$C:$C,adProjScenario,PrdAdPassifEp!$D:$D,adProjIteration,PrdAdPassifEp!$E:$E,"1.Perf",PrdAdPassifEp!$G:$G,adProjCdCanton)</f>
        <v>0</v>
      </c>
      <c r="AO117" s="38">
        <f>SUMIFS(PrdAdPassifEp!$X:$X,PrdAdPassifEp!$B:$B,adProjChocS2,PrdAdPassifEp!$C:$C,adProjScenario,PrdAdPassifEp!$D:$D,adProjIteration,PrdAdPassifEp!$E:$E,"1.Perf",PrdAdPassifEp!$G:$G,adProjCdCanton)</f>
        <v>0</v>
      </c>
      <c r="AP117" s="38">
        <f>SUMIFS(PrdAdPassifEp!$X:$X,PrdAdPassifEp!$B:$B,adProjChocS2,PrdAdPassifEp!$C:$C,adProjScenario,PrdAdPassifEp!$D:$D,adProjIteration,PrdAdPassifEp!$E:$E,"1.Perf",PrdAdPassifEp!$G:$G,adProjCdCanton)</f>
        <v>0</v>
      </c>
      <c r="AQ117" s="38">
        <f>SUMIFS(PrdAdPassifEp!$X:$X,PrdAdPassifEp!$B:$B,adProjChocS2,PrdAdPassifEp!$C:$C,adProjScenario,PrdAdPassifEp!$D:$D,adProjIteration,PrdAdPassifEp!$E:$E,"1.Perf",PrdAdPassifEp!$G:$G,adProjCdCanton)</f>
        <v>0</v>
      </c>
      <c r="AR117" s="38">
        <f>SUMIFS(PrdAdPassifEp!$X:$X,PrdAdPassifEp!$B:$B,adProjChocS2,PrdAdPassifEp!$C:$C,adProjScenario,PrdAdPassifEp!$D:$D,adProjIteration,PrdAdPassifEp!$E:$E,"1.Perf",PrdAdPassifEp!$G:$G,adProjCdCanton)</f>
        <v>0</v>
      </c>
      <c r="AS117" s="38">
        <f>SUMIFS(PrdAdPassifEp!$X:$X,PrdAdPassifEp!$B:$B,adProjChocS2,PrdAdPassifEp!$C:$C,adProjScenario,PrdAdPassifEp!$D:$D,adProjIteration,PrdAdPassifEp!$E:$E,"1.Perf",PrdAdPassifEp!$G:$G,adProjCdCanton)</f>
        <v>0</v>
      </c>
      <c r="AT117" s="38">
        <f>SUMIFS(PrdAdPassifEp!$X:$X,PrdAdPassifEp!$B:$B,adProjChocS2,PrdAdPassifEp!$C:$C,adProjScenario,PrdAdPassifEp!$D:$D,adProjIteration,PrdAdPassifEp!$E:$E,"1.Perf",PrdAdPassifEp!$G:$G,adProjCdCanton)</f>
        <v>0</v>
      </c>
      <c r="AU117" s="38">
        <f>SUMIFS(PrdAdPassifEp!$X:$X,PrdAdPassifEp!$B:$B,adProjChocS2,PrdAdPassifEp!$C:$C,adProjScenario,PrdAdPassifEp!$D:$D,adProjIteration,PrdAdPassifEp!$E:$E,"1.Perf",PrdAdPassifEp!$G:$G,adProjCdCanton)</f>
        <v>0</v>
      </c>
      <c r="AV117" s="38">
        <f>SUMIFS(PrdAdPassifEp!$X:$X,PrdAdPassifEp!$B:$B,adProjChocS2,PrdAdPassifEp!$C:$C,adProjScenario,PrdAdPassifEp!$D:$D,adProjIteration,PrdAdPassifEp!$E:$E,"1.Perf",PrdAdPassifEp!$G:$G,adProjCdCanton)</f>
        <v>0</v>
      </c>
      <c r="AW117" s="38">
        <f>SUMIFS(PrdAdPassifEp!$X:$X,PrdAdPassifEp!$B:$B,adProjChocS2,PrdAdPassifEp!$C:$C,adProjScenario,PrdAdPassifEp!$D:$D,adProjIteration,PrdAdPassifEp!$E:$E,"1.Perf",PrdAdPassifEp!$G:$G,adProjCdCanton)</f>
        <v>0</v>
      </c>
      <c r="AX117" s="38">
        <f>SUMIFS(PrdAdPassifEp!$X:$X,PrdAdPassifEp!$B:$B,adProjChocS2,PrdAdPassifEp!$C:$C,adProjScenario,PrdAdPassifEp!$D:$D,adProjIteration,PrdAdPassifEp!$E:$E,"1.Perf",PrdAdPassifEp!$G:$G,adProjCdCanton)</f>
        <v>0</v>
      </c>
      <c r="AY117" s="38">
        <f>SUMIFS(PrdAdPassifEp!$X:$X,PrdAdPassifEp!$B:$B,adProjChocS2,PrdAdPassifEp!$C:$C,adProjScenario,PrdAdPassifEp!$D:$D,adProjIteration,PrdAdPassifEp!$E:$E,"1.Perf",PrdAdPassifEp!$G:$G,adProjCdCanton)</f>
        <v>0</v>
      </c>
      <c r="AZ117" s="38">
        <f>SUMIFS(PrdAdPassifEp!$X:$X,PrdAdPassifEp!$B:$B,adProjChocS2,PrdAdPassifEp!$C:$C,adProjScenario,PrdAdPassifEp!$D:$D,adProjIteration,PrdAdPassifEp!$E:$E,"1.Perf",PrdAdPassifEp!$G:$G,adProjCdCanton)</f>
        <v>0</v>
      </c>
      <c r="BA117" s="38">
        <f>SUMIFS(PrdAdPassifEp!$X:$X,PrdAdPassifEp!$B:$B,adProjChocS2,PrdAdPassifEp!$C:$C,adProjScenario,PrdAdPassifEp!$D:$D,adProjIteration,PrdAdPassifEp!$E:$E,"1.Perf",PrdAdPassifEp!$G:$G,adProjCdCanton)</f>
        <v>0</v>
      </c>
      <c r="BB117" s="38">
        <f>SUMIFS(PrdAdPassifEp!$X:$X,PrdAdPassifEp!$B:$B,adProjChocS2,PrdAdPassifEp!$C:$C,adProjScenario,PrdAdPassifEp!$D:$D,adProjIteration,PrdAdPassifEp!$E:$E,"1.Perf",PrdAdPassifEp!$G:$G,adProjCdCanton)</f>
        <v>0</v>
      </c>
    </row>
    <row r="118" spans="1:54" ht="15.75" customHeight="1" x14ac:dyDescent="0.3">
      <c r="A118" s="16"/>
      <c r="B118" s="34"/>
      <c r="C118" s="37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</row>
    <row r="119" spans="1:54" ht="15.75" customHeight="1" x14ac:dyDescent="0.3">
      <c r="A119" s="16"/>
      <c r="B119" s="34"/>
      <c r="C119" s="39" t="s">
        <v>97</v>
      </c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</row>
    <row r="120" spans="1:54" ht="15.75" customHeight="1" x14ac:dyDescent="0.3">
      <c r="A120" s="16"/>
      <c r="B120" s="34"/>
      <c r="C120" s="37" t="s">
        <v>98</v>
      </c>
      <c r="D120" s="38">
        <f>SUMIFS(PrdAdPassifEp!$AH:$AH,PrdAdPassifEp!$B:$B,adProjChocS2,PrdAdPassifEp!$C:$C,adProjScenario,PrdAdPassifEp!$D:$D,adProjIteration,PrdAdPassifEp!$E:$E,"1.Perf",PrdAdPassifEp!$G:$G,adProjCdCanton)</f>
        <v>0</v>
      </c>
      <c r="E120" s="38">
        <f>SUMIFS(PrdAdPassifEp!$AH:$AH,PrdAdPassifEp!$B:$B,adProjChocS2,PrdAdPassifEp!$C:$C,adProjScenario,PrdAdPassifEp!$D:$D,adProjIteration,PrdAdPassifEp!$E:$E,"1.Perf",PrdAdPassifEp!$G:$G,adProjCdCanton)</f>
        <v>0</v>
      </c>
      <c r="F120" s="38">
        <f>SUMIFS(PrdAdPassifEp!$AH:$AH,PrdAdPassifEp!$B:$B,adProjChocS2,PrdAdPassifEp!$C:$C,adProjScenario,PrdAdPassifEp!$D:$D,adProjIteration,PrdAdPassifEp!$E:$E,"1.Perf",PrdAdPassifEp!$G:$G,adProjCdCanton)</f>
        <v>0</v>
      </c>
      <c r="G120" s="38">
        <f>SUMIFS(PrdAdPassifEp!$AH:$AH,PrdAdPassifEp!$B:$B,adProjChocS2,PrdAdPassifEp!$C:$C,adProjScenario,PrdAdPassifEp!$D:$D,adProjIteration,PrdAdPassifEp!$E:$E,"1.Perf",PrdAdPassifEp!$G:$G,adProjCdCanton)</f>
        <v>0</v>
      </c>
      <c r="H120" s="38">
        <f>SUMIFS(PrdAdPassifEp!$AH:$AH,PrdAdPassifEp!$B:$B,adProjChocS2,PrdAdPassifEp!$C:$C,adProjScenario,PrdAdPassifEp!$D:$D,adProjIteration,PrdAdPassifEp!$E:$E,"1.Perf",PrdAdPassifEp!$G:$G,adProjCdCanton)</f>
        <v>0</v>
      </c>
      <c r="I120" s="38">
        <f>SUMIFS(PrdAdPassifEp!$AH:$AH,PrdAdPassifEp!$B:$B,adProjChocS2,PrdAdPassifEp!$C:$C,adProjScenario,PrdAdPassifEp!$D:$D,adProjIteration,PrdAdPassifEp!$E:$E,"1.Perf",PrdAdPassifEp!$G:$G,adProjCdCanton)</f>
        <v>0</v>
      </c>
      <c r="J120" s="38">
        <f>SUMIFS(PrdAdPassifEp!$AH:$AH,PrdAdPassifEp!$B:$B,adProjChocS2,PrdAdPassifEp!$C:$C,adProjScenario,PrdAdPassifEp!$D:$D,adProjIteration,PrdAdPassifEp!$E:$E,"1.Perf",PrdAdPassifEp!$G:$G,adProjCdCanton)</f>
        <v>0</v>
      </c>
      <c r="K120" s="38">
        <f>SUMIFS(PrdAdPassifEp!$AH:$AH,PrdAdPassifEp!$B:$B,adProjChocS2,PrdAdPassifEp!$C:$C,adProjScenario,PrdAdPassifEp!$D:$D,adProjIteration,PrdAdPassifEp!$E:$E,"1.Perf",PrdAdPassifEp!$G:$G,adProjCdCanton)</f>
        <v>0</v>
      </c>
      <c r="L120" s="38">
        <f>SUMIFS(PrdAdPassifEp!$AH:$AH,PrdAdPassifEp!$B:$B,adProjChocS2,PrdAdPassifEp!$C:$C,adProjScenario,PrdAdPassifEp!$D:$D,adProjIteration,PrdAdPassifEp!$E:$E,"1.Perf",PrdAdPassifEp!$G:$G,adProjCdCanton)</f>
        <v>0</v>
      </c>
      <c r="M120" s="38">
        <f>SUMIFS(PrdAdPassifEp!$AH:$AH,PrdAdPassifEp!$B:$B,adProjChocS2,PrdAdPassifEp!$C:$C,adProjScenario,PrdAdPassifEp!$D:$D,adProjIteration,PrdAdPassifEp!$E:$E,"1.Perf",PrdAdPassifEp!$G:$G,adProjCdCanton)</f>
        <v>0</v>
      </c>
      <c r="N120" s="38">
        <f>SUMIFS(PrdAdPassifEp!$AH:$AH,PrdAdPassifEp!$B:$B,adProjChocS2,PrdAdPassifEp!$C:$C,adProjScenario,PrdAdPassifEp!$D:$D,adProjIteration,PrdAdPassifEp!$E:$E,"1.Perf",PrdAdPassifEp!$G:$G,adProjCdCanton)</f>
        <v>0</v>
      </c>
      <c r="O120" s="38">
        <f>SUMIFS(PrdAdPassifEp!$AH:$AH,PrdAdPassifEp!$B:$B,adProjChocS2,PrdAdPassifEp!$C:$C,adProjScenario,PrdAdPassifEp!$D:$D,adProjIteration,PrdAdPassifEp!$E:$E,"1.Perf",PrdAdPassifEp!$G:$G,adProjCdCanton)</f>
        <v>0</v>
      </c>
      <c r="P120" s="38">
        <f>SUMIFS(PrdAdPassifEp!$AH:$AH,PrdAdPassifEp!$B:$B,adProjChocS2,PrdAdPassifEp!$C:$C,adProjScenario,PrdAdPassifEp!$D:$D,adProjIteration,PrdAdPassifEp!$E:$E,"1.Perf",PrdAdPassifEp!$G:$G,adProjCdCanton)</f>
        <v>0</v>
      </c>
      <c r="Q120" s="38">
        <f>SUMIFS(PrdAdPassifEp!$AH:$AH,PrdAdPassifEp!$B:$B,adProjChocS2,PrdAdPassifEp!$C:$C,adProjScenario,PrdAdPassifEp!$D:$D,adProjIteration,PrdAdPassifEp!$E:$E,"1.Perf",PrdAdPassifEp!$G:$G,adProjCdCanton)</f>
        <v>0</v>
      </c>
      <c r="R120" s="38">
        <f>SUMIFS(PrdAdPassifEp!$AH:$AH,PrdAdPassifEp!$B:$B,adProjChocS2,PrdAdPassifEp!$C:$C,adProjScenario,PrdAdPassifEp!$D:$D,adProjIteration,PrdAdPassifEp!$E:$E,"1.Perf",PrdAdPassifEp!$G:$G,adProjCdCanton)</f>
        <v>0</v>
      </c>
      <c r="S120" s="38">
        <f>SUMIFS(PrdAdPassifEp!$AH:$AH,PrdAdPassifEp!$B:$B,adProjChocS2,PrdAdPassifEp!$C:$C,adProjScenario,PrdAdPassifEp!$D:$D,adProjIteration,PrdAdPassifEp!$E:$E,"1.Perf",PrdAdPassifEp!$G:$G,adProjCdCanton)</f>
        <v>0</v>
      </c>
      <c r="T120" s="38">
        <f>SUMIFS(PrdAdPassifEp!$AH:$AH,PrdAdPassifEp!$B:$B,adProjChocS2,PrdAdPassifEp!$C:$C,adProjScenario,PrdAdPassifEp!$D:$D,adProjIteration,PrdAdPassifEp!$E:$E,"1.Perf",PrdAdPassifEp!$G:$G,adProjCdCanton)</f>
        <v>0</v>
      </c>
      <c r="U120" s="38">
        <f>SUMIFS(PrdAdPassifEp!$AH:$AH,PrdAdPassifEp!$B:$B,adProjChocS2,PrdAdPassifEp!$C:$C,adProjScenario,PrdAdPassifEp!$D:$D,adProjIteration,PrdAdPassifEp!$E:$E,"1.Perf",PrdAdPassifEp!$G:$G,adProjCdCanton)</f>
        <v>0</v>
      </c>
      <c r="V120" s="38">
        <f>SUMIFS(PrdAdPassifEp!$AH:$AH,PrdAdPassifEp!$B:$B,adProjChocS2,PrdAdPassifEp!$C:$C,adProjScenario,PrdAdPassifEp!$D:$D,adProjIteration,PrdAdPassifEp!$E:$E,"1.Perf",PrdAdPassifEp!$G:$G,adProjCdCanton)</f>
        <v>0</v>
      </c>
      <c r="W120" s="38">
        <f>SUMIFS(PrdAdPassifEp!$AH:$AH,PrdAdPassifEp!$B:$B,adProjChocS2,PrdAdPassifEp!$C:$C,adProjScenario,PrdAdPassifEp!$D:$D,adProjIteration,PrdAdPassifEp!$E:$E,"1.Perf",PrdAdPassifEp!$G:$G,adProjCdCanton)</f>
        <v>0</v>
      </c>
      <c r="X120" s="38">
        <f>SUMIFS(PrdAdPassifEp!$AH:$AH,PrdAdPassifEp!$B:$B,adProjChocS2,PrdAdPassifEp!$C:$C,adProjScenario,PrdAdPassifEp!$D:$D,adProjIteration,PrdAdPassifEp!$E:$E,"1.Perf",PrdAdPassifEp!$G:$G,adProjCdCanton)</f>
        <v>0</v>
      </c>
      <c r="Y120" s="38">
        <f>SUMIFS(PrdAdPassifEp!$AH:$AH,PrdAdPassifEp!$B:$B,adProjChocS2,PrdAdPassifEp!$C:$C,adProjScenario,PrdAdPassifEp!$D:$D,adProjIteration,PrdAdPassifEp!$E:$E,"1.Perf",PrdAdPassifEp!$G:$G,adProjCdCanton)</f>
        <v>0</v>
      </c>
      <c r="Z120" s="38">
        <f>SUMIFS(PrdAdPassifEp!$AH:$AH,PrdAdPassifEp!$B:$B,adProjChocS2,PrdAdPassifEp!$C:$C,adProjScenario,PrdAdPassifEp!$D:$D,adProjIteration,PrdAdPassifEp!$E:$E,"1.Perf",PrdAdPassifEp!$G:$G,adProjCdCanton)</f>
        <v>0</v>
      </c>
      <c r="AA120" s="38">
        <f>SUMIFS(PrdAdPassifEp!$AH:$AH,PrdAdPassifEp!$B:$B,adProjChocS2,PrdAdPassifEp!$C:$C,adProjScenario,PrdAdPassifEp!$D:$D,adProjIteration,PrdAdPassifEp!$E:$E,"1.Perf",PrdAdPassifEp!$G:$G,adProjCdCanton)</f>
        <v>0</v>
      </c>
      <c r="AB120" s="38">
        <f>SUMIFS(PrdAdPassifEp!$AH:$AH,PrdAdPassifEp!$B:$B,adProjChocS2,PrdAdPassifEp!$C:$C,adProjScenario,PrdAdPassifEp!$D:$D,adProjIteration,PrdAdPassifEp!$E:$E,"1.Perf",PrdAdPassifEp!$G:$G,adProjCdCanton)</f>
        <v>0</v>
      </c>
      <c r="AC120" s="38">
        <f>SUMIFS(PrdAdPassifEp!$AH:$AH,PrdAdPassifEp!$B:$B,adProjChocS2,PrdAdPassifEp!$C:$C,adProjScenario,PrdAdPassifEp!$D:$D,adProjIteration,PrdAdPassifEp!$E:$E,"1.Perf",PrdAdPassifEp!$G:$G,adProjCdCanton)</f>
        <v>0</v>
      </c>
      <c r="AD120" s="38">
        <f>SUMIFS(PrdAdPassifEp!$AH:$AH,PrdAdPassifEp!$B:$B,adProjChocS2,PrdAdPassifEp!$C:$C,adProjScenario,PrdAdPassifEp!$D:$D,adProjIteration,PrdAdPassifEp!$E:$E,"1.Perf",PrdAdPassifEp!$G:$G,adProjCdCanton)</f>
        <v>0</v>
      </c>
      <c r="AE120" s="38">
        <f>SUMIFS(PrdAdPassifEp!$AH:$AH,PrdAdPassifEp!$B:$B,adProjChocS2,PrdAdPassifEp!$C:$C,adProjScenario,PrdAdPassifEp!$D:$D,adProjIteration,PrdAdPassifEp!$E:$E,"1.Perf",PrdAdPassifEp!$G:$G,adProjCdCanton)</f>
        <v>0</v>
      </c>
      <c r="AF120" s="38">
        <f>SUMIFS(PrdAdPassifEp!$AH:$AH,PrdAdPassifEp!$B:$B,adProjChocS2,PrdAdPassifEp!$C:$C,adProjScenario,PrdAdPassifEp!$D:$D,adProjIteration,PrdAdPassifEp!$E:$E,"1.Perf",PrdAdPassifEp!$G:$G,adProjCdCanton)</f>
        <v>0</v>
      </c>
      <c r="AG120" s="38">
        <f>SUMIFS(PrdAdPassifEp!$AH:$AH,PrdAdPassifEp!$B:$B,adProjChocS2,PrdAdPassifEp!$C:$C,adProjScenario,PrdAdPassifEp!$D:$D,adProjIteration,PrdAdPassifEp!$E:$E,"1.Perf",PrdAdPassifEp!$G:$G,adProjCdCanton)</f>
        <v>0</v>
      </c>
      <c r="AH120" s="38">
        <f>SUMIFS(PrdAdPassifEp!$AH:$AH,PrdAdPassifEp!$B:$B,adProjChocS2,PrdAdPassifEp!$C:$C,adProjScenario,PrdAdPassifEp!$D:$D,adProjIteration,PrdAdPassifEp!$E:$E,"1.Perf",PrdAdPassifEp!$G:$G,adProjCdCanton)</f>
        <v>0</v>
      </c>
      <c r="AI120" s="38">
        <f>SUMIFS(PrdAdPassifEp!$AH:$AH,PrdAdPassifEp!$B:$B,adProjChocS2,PrdAdPassifEp!$C:$C,adProjScenario,PrdAdPassifEp!$D:$D,adProjIteration,PrdAdPassifEp!$E:$E,"1.Perf",PrdAdPassifEp!$G:$G,adProjCdCanton)</f>
        <v>0</v>
      </c>
      <c r="AJ120" s="38">
        <f>SUMIFS(PrdAdPassifEp!$AH:$AH,PrdAdPassifEp!$B:$B,adProjChocS2,PrdAdPassifEp!$C:$C,adProjScenario,PrdAdPassifEp!$D:$D,adProjIteration,PrdAdPassifEp!$E:$E,"1.Perf",PrdAdPassifEp!$G:$G,adProjCdCanton)</f>
        <v>0</v>
      </c>
      <c r="AK120" s="38">
        <f>SUMIFS(PrdAdPassifEp!$AH:$AH,PrdAdPassifEp!$B:$B,adProjChocS2,PrdAdPassifEp!$C:$C,adProjScenario,PrdAdPassifEp!$D:$D,adProjIteration,PrdAdPassifEp!$E:$E,"1.Perf",PrdAdPassifEp!$G:$G,adProjCdCanton)</f>
        <v>0</v>
      </c>
      <c r="AL120" s="38">
        <f>SUMIFS(PrdAdPassifEp!$AH:$AH,PrdAdPassifEp!$B:$B,adProjChocS2,PrdAdPassifEp!$C:$C,adProjScenario,PrdAdPassifEp!$D:$D,adProjIteration,PrdAdPassifEp!$E:$E,"1.Perf",PrdAdPassifEp!$G:$G,adProjCdCanton)</f>
        <v>0</v>
      </c>
      <c r="AM120" s="38">
        <f>SUMIFS(PrdAdPassifEp!$AH:$AH,PrdAdPassifEp!$B:$B,adProjChocS2,PrdAdPassifEp!$C:$C,adProjScenario,PrdAdPassifEp!$D:$D,adProjIteration,PrdAdPassifEp!$E:$E,"1.Perf",PrdAdPassifEp!$G:$G,adProjCdCanton)</f>
        <v>0</v>
      </c>
      <c r="AN120" s="38">
        <f>SUMIFS(PrdAdPassifEp!$AH:$AH,PrdAdPassifEp!$B:$B,adProjChocS2,PrdAdPassifEp!$C:$C,adProjScenario,PrdAdPassifEp!$D:$D,adProjIteration,PrdAdPassifEp!$E:$E,"1.Perf",PrdAdPassifEp!$G:$G,adProjCdCanton)</f>
        <v>0</v>
      </c>
      <c r="AO120" s="38">
        <f>SUMIFS(PrdAdPassifEp!$AH:$AH,PrdAdPassifEp!$B:$B,adProjChocS2,PrdAdPassifEp!$C:$C,adProjScenario,PrdAdPassifEp!$D:$D,adProjIteration,PrdAdPassifEp!$E:$E,"1.Perf",PrdAdPassifEp!$G:$G,adProjCdCanton)</f>
        <v>0</v>
      </c>
      <c r="AP120" s="38">
        <f>SUMIFS(PrdAdPassifEp!$AH:$AH,PrdAdPassifEp!$B:$B,adProjChocS2,PrdAdPassifEp!$C:$C,adProjScenario,PrdAdPassifEp!$D:$D,adProjIteration,PrdAdPassifEp!$E:$E,"1.Perf",PrdAdPassifEp!$G:$G,adProjCdCanton)</f>
        <v>0</v>
      </c>
      <c r="AQ120" s="38">
        <f>SUMIFS(PrdAdPassifEp!$AH:$AH,PrdAdPassifEp!$B:$B,adProjChocS2,PrdAdPassifEp!$C:$C,adProjScenario,PrdAdPassifEp!$D:$D,adProjIteration,PrdAdPassifEp!$E:$E,"1.Perf",PrdAdPassifEp!$G:$G,adProjCdCanton)</f>
        <v>0</v>
      </c>
      <c r="AR120" s="38">
        <f>SUMIFS(PrdAdPassifEp!$AH:$AH,PrdAdPassifEp!$B:$B,adProjChocS2,PrdAdPassifEp!$C:$C,adProjScenario,PrdAdPassifEp!$D:$D,adProjIteration,PrdAdPassifEp!$E:$E,"1.Perf",PrdAdPassifEp!$G:$G,adProjCdCanton)</f>
        <v>0</v>
      </c>
      <c r="AS120" s="38">
        <f>SUMIFS(PrdAdPassifEp!$AH:$AH,PrdAdPassifEp!$B:$B,adProjChocS2,PrdAdPassifEp!$C:$C,adProjScenario,PrdAdPassifEp!$D:$D,adProjIteration,PrdAdPassifEp!$E:$E,"1.Perf",PrdAdPassifEp!$G:$G,adProjCdCanton)</f>
        <v>0</v>
      </c>
      <c r="AT120" s="38">
        <f>SUMIFS(PrdAdPassifEp!$AH:$AH,PrdAdPassifEp!$B:$B,adProjChocS2,PrdAdPassifEp!$C:$C,adProjScenario,PrdAdPassifEp!$D:$D,adProjIteration,PrdAdPassifEp!$E:$E,"1.Perf",PrdAdPassifEp!$G:$G,adProjCdCanton)</f>
        <v>0</v>
      </c>
      <c r="AU120" s="38">
        <f>SUMIFS(PrdAdPassifEp!$AH:$AH,PrdAdPassifEp!$B:$B,adProjChocS2,PrdAdPassifEp!$C:$C,adProjScenario,PrdAdPassifEp!$D:$D,adProjIteration,PrdAdPassifEp!$E:$E,"1.Perf",PrdAdPassifEp!$G:$G,adProjCdCanton)</f>
        <v>0</v>
      </c>
      <c r="AV120" s="38">
        <f>SUMIFS(PrdAdPassifEp!$AH:$AH,PrdAdPassifEp!$B:$B,adProjChocS2,PrdAdPassifEp!$C:$C,adProjScenario,PrdAdPassifEp!$D:$D,adProjIteration,PrdAdPassifEp!$E:$E,"1.Perf",PrdAdPassifEp!$G:$G,adProjCdCanton)</f>
        <v>0</v>
      </c>
      <c r="AW120" s="38">
        <f>SUMIFS(PrdAdPassifEp!$AH:$AH,PrdAdPassifEp!$B:$B,adProjChocS2,PrdAdPassifEp!$C:$C,adProjScenario,PrdAdPassifEp!$D:$D,adProjIteration,PrdAdPassifEp!$E:$E,"1.Perf",PrdAdPassifEp!$G:$G,adProjCdCanton)</f>
        <v>0</v>
      </c>
      <c r="AX120" s="38">
        <f>SUMIFS(PrdAdPassifEp!$AH:$AH,PrdAdPassifEp!$B:$B,adProjChocS2,PrdAdPassifEp!$C:$C,adProjScenario,PrdAdPassifEp!$D:$D,adProjIteration,PrdAdPassifEp!$E:$E,"1.Perf",PrdAdPassifEp!$G:$G,adProjCdCanton)</f>
        <v>0</v>
      </c>
      <c r="AY120" s="38">
        <f>SUMIFS(PrdAdPassifEp!$AH:$AH,PrdAdPassifEp!$B:$B,adProjChocS2,PrdAdPassifEp!$C:$C,adProjScenario,PrdAdPassifEp!$D:$D,adProjIteration,PrdAdPassifEp!$E:$E,"1.Perf",PrdAdPassifEp!$G:$G,adProjCdCanton)</f>
        <v>0</v>
      </c>
      <c r="AZ120" s="38">
        <f>SUMIFS(PrdAdPassifEp!$AH:$AH,PrdAdPassifEp!$B:$B,adProjChocS2,PrdAdPassifEp!$C:$C,adProjScenario,PrdAdPassifEp!$D:$D,adProjIteration,PrdAdPassifEp!$E:$E,"1.Perf",PrdAdPassifEp!$G:$G,adProjCdCanton)</f>
        <v>0</v>
      </c>
      <c r="BA120" s="38">
        <f>SUMIFS(PrdAdPassifEp!$AH:$AH,PrdAdPassifEp!$B:$B,adProjChocS2,PrdAdPassifEp!$C:$C,adProjScenario,PrdAdPassifEp!$D:$D,adProjIteration,PrdAdPassifEp!$E:$E,"1.Perf",PrdAdPassifEp!$G:$G,adProjCdCanton)</f>
        <v>0</v>
      </c>
      <c r="BB120" s="38">
        <f>SUMIFS(PrdAdPassifEp!$AH:$AH,PrdAdPassifEp!$B:$B,adProjChocS2,PrdAdPassifEp!$C:$C,adProjScenario,PrdAdPassifEp!$D:$D,adProjIteration,PrdAdPassifEp!$E:$E,"1.Perf",PrdAdPassifEp!$G:$G,adProjCdCanton)</f>
        <v>0</v>
      </c>
    </row>
    <row r="121" spans="1:54" ht="15.75" customHeight="1" x14ac:dyDescent="0.3">
      <c r="A121" s="16"/>
      <c r="B121" s="34"/>
      <c r="C121" s="37" t="s">
        <v>99</v>
      </c>
      <c r="D121" s="38"/>
      <c r="E121" s="38">
        <f>SUMIFS(PrdAdPassifEp!$AN:$AN,PrdAdPassifEp!$B:$B,adProjChocS2,PrdAdPassifEp!$C:$C,adProjScenario,PrdAdPassifEp!$D:$D,adProjIteration,PrdAdPassifEp!$E:$E,"3.AlmCr",PrdAdPassifEp!$G:$G,adProjCdCanton)</f>
        <v>0</v>
      </c>
      <c r="F121" s="38">
        <f>SUMIFS(PrdAdPassifEp!$AN:$AN,PrdAdPassifEp!$B:$B,adProjChocS2,PrdAdPassifEp!$C:$C,adProjScenario,PrdAdPassifEp!$D:$D,adProjIteration,PrdAdPassifEp!$E:$E,"3.AlmCr",PrdAdPassifEp!$G:$G,adProjCdCanton)</f>
        <v>0</v>
      </c>
      <c r="G121" s="38">
        <f>SUMIFS(PrdAdPassifEp!$AN:$AN,PrdAdPassifEp!$B:$B,adProjChocS2,PrdAdPassifEp!$C:$C,adProjScenario,PrdAdPassifEp!$D:$D,adProjIteration,PrdAdPassifEp!$E:$E,"3.AlmCr",PrdAdPassifEp!$G:$G,adProjCdCanton)</f>
        <v>0</v>
      </c>
      <c r="H121" s="38">
        <f>SUMIFS(PrdAdPassifEp!$AN:$AN,PrdAdPassifEp!$B:$B,adProjChocS2,PrdAdPassifEp!$C:$C,adProjScenario,PrdAdPassifEp!$D:$D,adProjIteration,PrdAdPassifEp!$E:$E,"3.AlmCr",PrdAdPassifEp!$G:$G,adProjCdCanton)</f>
        <v>0</v>
      </c>
      <c r="I121" s="38">
        <f>SUMIFS(PrdAdPassifEp!$AN:$AN,PrdAdPassifEp!$B:$B,adProjChocS2,PrdAdPassifEp!$C:$C,adProjScenario,PrdAdPassifEp!$D:$D,adProjIteration,PrdAdPassifEp!$E:$E,"3.AlmCr",PrdAdPassifEp!$G:$G,adProjCdCanton)</f>
        <v>0</v>
      </c>
      <c r="J121" s="38">
        <f>SUMIFS(PrdAdPassifEp!$AN:$AN,PrdAdPassifEp!$B:$B,adProjChocS2,PrdAdPassifEp!$C:$C,adProjScenario,PrdAdPassifEp!$D:$D,adProjIteration,PrdAdPassifEp!$E:$E,"3.AlmCr",PrdAdPassifEp!$G:$G,adProjCdCanton)</f>
        <v>0</v>
      </c>
      <c r="K121" s="38">
        <f>SUMIFS(PrdAdPassifEp!$AN:$AN,PrdAdPassifEp!$B:$B,adProjChocS2,PrdAdPassifEp!$C:$C,adProjScenario,PrdAdPassifEp!$D:$D,adProjIteration,PrdAdPassifEp!$E:$E,"3.AlmCr",PrdAdPassifEp!$G:$G,adProjCdCanton)</f>
        <v>0</v>
      </c>
      <c r="L121" s="38">
        <f>SUMIFS(PrdAdPassifEp!$AN:$AN,PrdAdPassifEp!$B:$B,adProjChocS2,PrdAdPassifEp!$C:$C,adProjScenario,PrdAdPassifEp!$D:$D,adProjIteration,PrdAdPassifEp!$E:$E,"3.AlmCr",PrdAdPassifEp!$G:$G,adProjCdCanton)</f>
        <v>0</v>
      </c>
      <c r="M121" s="38">
        <f>SUMIFS(PrdAdPassifEp!$AN:$AN,PrdAdPassifEp!$B:$B,adProjChocS2,PrdAdPassifEp!$C:$C,adProjScenario,PrdAdPassifEp!$D:$D,adProjIteration,PrdAdPassifEp!$E:$E,"3.AlmCr",PrdAdPassifEp!$G:$G,adProjCdCanton)</f>
        <v>0</v>
      </c>
      <c r="N121" s="38">
        <f>SUMIFS(PrdAdPassifEp!$AN:$AN,PrdAdPassifEp!$B:$B,adProjChocS2,PrdAdPassifEp!$C:$C,adProjScenario,PrdAdPassifEp!$D:$D,adProjIteration,PrdAdPassifEp!$E:$E,"3.AlmCr",PrdAdPassifEp!$G:$G,adProjCdCanton)</f>
        <v>0</v>
      </c>
      <c r="O121" s="38">
        <f>SUMIFS(PrdAdPassifEp!$AN:$AN,PrdAdPassifEp!$B:$B,adProjChocS2,PrdAdPassifEp!$C:$C,adProjScenario,PrdAdPassifEp!$D:$D,adProjIteration,PrdAdPassifEp!$E:$E,"3.AlmCr",PrdAdPassifEp!$G:$G,adProjCdCanton)</f>
        <v>0</v>
      </c>
      <c r="P121" s="38">
        <f>SUMIFS(PrdAdPassifEp!$AN:$AN,PrdAdPassifEp!$B:$B,adProjChocS2,PrdAdPassifEp!$C:$C,adProjScenario,PrdAdPassifEp!$D:$D,adProjIteration,PrdAdPassifEp!$E:$E,"3.AlmCr",PrdAdPassifEp!$G:$G,adProjCdCanton)</f>
        <v>0</v>
      </c>
      <c r="Q121" s="38">
        <f>SUMIFS(PrdAdPassifEp!$AN:$AN,PrdAdPassifEp!$B:$B,adProjChocS2,PrdAdPassifEp!$C:$C,adProjScenario,PrdAdPassifEp!$D:$D,adProjIteration,PrdAdPassifEp!$E:$E,"3.AlmCr",PrdAdPassifEp!$G:$G,adProjCdCanton)</f>
        <v>0</v>
      </c>
      <c r="R121" s="38">
        <f>SUMIFS(PrdAdPassifEp!$AN:$AN,PrdAdPassifEp!$B:$B,adProjChocS2,PrdAdPassifEp!$C:$C,adProjScenario,PrdAdPassifEp!$D:$D,adProjIteration,PrdAdPassifEp!$E:$E,"3.AlmCr",PrdAdPassifEp!$G:$G,adProjCdCanton)</f>
        <v>0</v>
      </c>
      <c r="S121" s="38">
        <f>SUMIFS(PrdAdPassifEp!$AN:$AN,PrdAdPassifEp!$B:$B,adProjChocS2,PrdAdPassifEp!$C:$C,adProjScenario,PrdAdPassifEp!$D:$D,adProjIteration,PrdAdPassifEp!$E:$E,"3.AlmCr",PrdAdPassifEp!$G:$G,adProjCdCanton)</f>
        <v>0</v>
      </c>
      <c r="T121" s="38">
        <f>SUMIFS(PrdAdPassifEp!$AN:$AN,PrdAdPassifEp!$B:$B,adProjChocS2,PrdAdPassifEp!$C:$C,adProjScenario,PrdAdPassifEp!$D:$D,adProjIteration,PrdAdPassifEp!$E:$E,"3.AlmCr",PrdAdPassifEp!$G:$G,adProjCdCanton)</f>
        <v>0</v>
      </c>
      <c r="U121" s="38">
        <f>SUMIFS(PrdAdPassifEp!$AN:$AN,PrdAdPassifEp!$B:$B,adProjChocS2,PrdAdPassifEp!$C:$C,adProjScenario,PrdAdPassifEp!$D:$D,adProjIteration,PrdAdPassifEp!$E:$E,"3.AlmCr",PrdAdPassifEp!$G:$G,adProjCdCanton)</f>
        <v>0</v>
      </c>
      <c r="V121" s="38">
        <f>SUMIFS(PrdAdPassifEp!$AN:$AN,PrdAdPassifEp!$B:$B,adProjChocS2,PrdAdPassifEp!$C:$C,adProjScenario,PrdAdPassifEp!$D:$D,adProjIteration,PrdAdPassifEp!$E:$E,"3.AlmCr",PrdAdPassifEp!$G:$G,adProjCdCanton)</f>
        <v>0</v>
      </c>
      <c r="W121" s="38">
        <f>SUMIFS(PrdAdPassifEp!$AN:$AN,PrdAdPassifEp!$B:$B,adProjChocS2,PrdAdPassifEp!$C:$C,adProjScenario,PrdAdPassifEp!$D:$D,adProjIteration,PrdAdPassifEp!$E:$E,"3.AlmCr",PrdAdPassifEp!$G:$G,adProjCdCanton)</f>
        <v>0</v>
      </c>
      <c r="X121" s="38">
        <f>SUMIFS(PrdAdPassifEp!$AN:$AN,PrdAdPassifEp!$B:$B,adProjChocS2,PrdAdPassifEp!$C:$C,adProjScenario,PrdAdPassifEp!$D:$D,adProjIteration,PrdAdPassifEp!$E:$E,"3.AlmCr",PrdAdPassifEp!$G:$G,adProjCdCanton)</f>
        <v>0</v>
      </c>
      <c r="Y121" s="38">
        <f>SUMIFS(PrdAdPassifEp!$AN:$AN,PrdAdPassifEp!$B:$B,adProjChocS2,PrdAdPassifEp!$C:$C,adProjScenario,PrdAdPassifEp!$D:$D,adProjIteration,PrdAdPassifEp!$E:$E,"3.AlmCr",PrdAdPassifEp!$G:$G,adProjCdCanton)</f>
        <v>0</v>
      </c>
      <c r="Z121" s="38">
        <f>SUMIFS(PrdAdPassifEp!$AN:$AN,PrdAdPassifEp!$B:$B,adProjChocS2,PrdAdPassifEp!$C:$C,adProjScenario,PrdAdPassifEp!$D:$D,adProjIteration,PrdAdPassifEp!$E:$E,"3.AlmCr",PrdAdPassifEp!$G:$G,adProjCdCanton)</f>
        <v>0</v>
      </c>
      <c r="AA121" s="38">
        <f>SUMIFS(PrdAdPassifEp!$AN:$AN,PrdAdPassifEp!$B:$B,adProjChocS2,PrdAdPassifEp!$C:$C,adProjScenario,PrdAdPassifEp!$D:$D,adProjIteration,PrdAdPassifEp!$E:$E,"3.AlmCr",PrdAdPassifEp!$G:$G,adProjCdCanton)</f>
        <v>0</v>
      </c>
      <c r="AB121" s="38">
        <f>SUMIFS(PrdAdPassifEp!$AN:$AN,PrdAdPassifEp!$B:$B,adProjChocS2,PrdAdPassifEp!$C:$C,adProjScenario,PrdAdPassifEp!$D:$D,adProjIteration,PrdAdPassifEp!$E:$E,"3.AlmCr",PrdAdPassifEp!$G:$G,adProjCdCanton)</f>
        <v>0</v>
      </c>
      <c r="AC121" s="38">
        <f>SUMIFS(PrdAdPassifEp!$AN:$AN,PrdAdPassifEp!$B:$B,adProjChocS2,PrdAdPassifEp!$C:$C,adProjScenario,PrdAdPassifEp!$D:$D,adProjIteration,PrdAdPassifEp!$E:$E,"3.AlmCr",PrdAdPassifEp!$G:$G,adProjCdCanton)</f>
        <v>0</v>
      </c>
      <c r="AD121" s="38">
        <f>SUMIFS(PrdAdPassifEp!$AN:$AN,PrdAdPassifEp!$B:$B,adProjChocS2,PrdAdPassifEp!$C:$C,adProjScenario,PrdAdPassifEp!$D:$D,adProjIteration,PrdAdPassifEp!$E:$E,"3.AlmCr",PrdAdPassifEp!$G:$G,adProjCdCanton)</f>
        <v>0</v>
      </c>
      <c r="AE121" s="38">
        <f>SUMIFS(PrdAdPassifEp!$AN:$AN,PrdAdPassifEp!$B:$B,adProjChocS2,PrdAdPassifEp!$C:$C,adProjScenario,PrdAdPassifEp!$D:$D,adProjIteration,PrdAdPassifEp!$E:$E,"3.AlmCr",PrdAdPassifEp!$G:$G,adProjCdCanton)</f>
        <v>0</v>
      </c>
      <c r="AF121" s="38">
        <f>SUMIFS(PrdAdPassifEp!$AN:$AN,PrdAdPassifEp!$B:$B,adProjChocS2,PrdAdPassifEp!$C:$C,adProjScenario,PrdAdPassifEp!$D:$D,adProjIteration,PrdAdPassifEp!$E:$E,"3.AlmCr",PrdAdPassifEp!$G:$G,adProjCdCanton)</f>
        <v>0</v>
      </c>
      <c r="AG121" s="38">
        <f>SUMIFS(PrdAdPassifEp!$AN:$AN,PrdAdPassifEp!$B:$B,adProjChocS2,PrdAdPassifEp!$C:$C,adProjScenario,PrdAdPassifEp!$D:$D,adProjIteration,PrdAdPassifEp!$E:$E,"3.AlmCr",PrdAdPassifEp!$G:$G,adProjCdCanton)</f>
        <v>0</v>
      </c>
      <c r="AH121" s="38">
        <f>SUMIFS(PrdAdPassifEp!$AN:$AN,PrdAdPassifEp!$B:$B,adProjChocS2,PrdAdPassifEp!$C:$C,adProjScenario,PrdAdPassifEp!$D:$D,adProjIteration,PrdAdPassifEp!$E:$E,"3.AlmCr",PrdAdPassifEp!$G:$G,adProjCdCanton)</f>
        <v>0</v>
      </c>
      <c r="AI121" s="38">
        <f>SUMIFS(PrdAdPassifEp!$AN:$AN,PrdAdPassifEp!$B:$B,adProjChocS2,PrdAdPassifEp!$C:$C,adProjScenario,PrdAdPassifEp!$D:$D,adProjIteration,PrdAdPassifEp!$E:$E,"3.AlmCr",PrdAdPassifEp!$G:$G,adProjCdCanton)</f>
        <v>0</v>
      </c>
      <c r="AJ121" s="38">
        <f>SUMIFS(PrdAdPassifEp!$AN:$AN,PrdAdPassifEp!$B:$B,adProjChocS2,PrdAdPassifEp!$C:$C,adProjScenario,PrdAdPassifEp!$D:$D,adProjIteration,PrdAdPassifEp!$E:$E,"3.AlmCr",PrdAdPassifEp!$G:$G,adProjCdCanton)</f>
        <v>0</v>
      </c>
      <c r="AK121" s="38">
        <f>SUMIFS(PrdAdPassifEp!$AN:$AN,PrdAdPassifEp!$B:$B,adProjChocS2,PrdAdPassifEp!$C:$C,adProjScenario,PrdAdPassifEp!$D:$D,adProjIteration,PrdAdPassifEp!$E:$E,"3.AlmCr",PrdAdPassifEp!$G:$G,adProjCdCanton)</f>
        <v>0</v>
      </c>
      <c r="AL121" s="38">
        <f>SUMIFS(PrdAdPassifEp!$AN:$AN,PrdAdPassifEp!$B:$B,adProjChocS2,PrdAdPassifEp!$C:$C,adProjScenario,PrdAdPassifEp!$D:$D,adProjIteration,PrdAdPassifEp!$E:$E,"3.AlmCr",PrdAdPassifEp!$G:$G,adProjCdCanton)</f>
        <v>0</v>
      </c>
      <c r="AM121" s="38">
        <f>SUMIFS(PrdAdPassifEp!$AN:$AN,PrdAdPassifEp!$B:$B,adProjChocS2,PrdAdPassifEp!$C:$C,adProjScenario,PrdAdPassifEp!$D:$D,adProjIteration,PrdAdPassifEp!$E:$E,"3.AlmCr",PrdAdPassifEp!$G:$G,adProjCdCanton)</f>
        <v>0</v>
      </c>
      <c r="AN121" s="38">
        <f>SUMIFS(PrdAdPassifEp!$AN:$AN,PrdAdPassifEp!$B:$B,adProjChocS2,PrdAdPassifEp!$C:$C,adProjScenario,PrdAdPassifEp!$D:$D,adProjIteration,PrdAdPassifEp!$E:$E,"3.AlmCr",PrdAdPassifEp!$G:$G,adProjCdCanton)</f>
        <v>0</v>
      </c>
      <c r="AO121" s="38">
        <f>SUMIFS(PrdAdPassifEp!$AN:$AN,PrdAdPassifEp!$B:$B,adProjChocS2,PrdAdPassifEp!$C:$C,adProjScenario,PrdAdPassifEp!$D:$D,adProjIteration,PrdAdPassifEp!$E:$E,"3.AlmCr",PrdAdPassifEp!$G:$G,adProjCdCanton)</f>
        <v>0</v>
      </c>
      <c r="AP121" s="38">
        <f>SUMIFS(PrdAdPassifEp!$AN:$AN,PrdAdPassifEp!$B:$B,adProjChocS2,PrdAdPassifEp!$C:$C,adProjScenario,PrdAdPassifEp!$D:$D,adProjIteration,PrdAdPassifEp!$E:$E,"3.AlmCr",PrdAdPassifEp!$G:$G,adProjCdCanton)</f>
        <v>0</v>
      </c>
      <c r="AQ121" s="38">
        <f>SUMIFS(PrdAdPassifEp!$AN:$AN,PrdAdPassifEp!$B:$B,adProjChocS2,PrdAdPassifEp!$C:$C,adProjScenario,PrdAdPassifEp!$D:$D,adProjIteration,PrdAdPassifEp!$E:$E,"3.AlmCr",PrdAdPassifEp!$G:$G,adProjCdCanton)</f>
        <v>0</v>
      </c>
      <c r="AR121" s="38">
        <f>SUMIFS(PrdAdPassifEp!$AN:$AN,PrdAdPassifEp!$B:$B,adProjChocS2,PrdAdPassifEp!$C:$C,adProjScenario,PrdAdPassifEp!$D:$D,adProjIteration,PrdAdPassifEp!$E:$E,"3.AlmCr",PrdAdPassifEp!$G:$G,adProjCdCanton)</f>
        <v>0</v>
      </c>
      <c r="AS121" s="38">
        <f>SUMIFS(PrdAdPassifEp!$AN:$AN,PrdAdPassifEp!$B:$B,adProjChocS2,PrdAdPassifEp!$C:$C,adProjScenario,PrdAdPassifEp!$D:$D,adProjIteration,PrdAdPassifEp!$E:$E,"3.AlmCr",PrdAdPassifEp!$G:$G,adProjCdCanton)</f>
        <v>0</v>
      </c>
      <c r="AT121" s="38">
        <f>SUMIFS(PrdAdPassifEp!$AN:$AN,PrdAdPassifEp!$B:$B,adProjChocS2,PrdAdPassifEp!$C:$C,adProjScenario,PrdAdPassifEp!$D:$D,adProjIteration,PrdAdPassifEp!$E:$E,"3.AlmCr",PrdAdPassifEp!$G:$G,adProjCdCanton)</f>
        <v>0</v>
      </c>
      <c r="AU121" s="38">
        <f>SUMIFS(PrdAdPassifEp!$AN:$AN,PrdAdPassifEp!$B:$B,adProjChocS2,PrdAdPassifEp!$C:$C,adProjScenario,PrdAdPassifEp!$D:$D,adProjIteration,PrdAdPassifEp!$E:$E,"3.AlmCr",PrdAdPassifEp!$G:$G,adProjCdCanton)</f>
        <v>0</v>
      </c>
      <c r="AV121" s="38">
        <f>SUMIFS(PrdAdPassifEp!$AN:$AN,PrdAdPassifEp!$B:$B,adProjChocS2,PrdAdPassifEp!$C:$C,adProjScenario,PrdAdPassifEp!$D:$D,adProjIteration,PrdAdPassifEp!$E:$E,"3.AlmCr",PrdAdPassifEp!$G:$G,adProjCdCanton)</f>
        <v>0</v>
      </c>
      <c r="AW121" s="38">
        <f>SUMIFS(PrdAdPassifEp!$AN:$AN,PrdAdPassifEp!$B:$B,adProjChocS2,PrdAdPassifEp!$C:$C,adProjScenario,PrdAdPassifEp!$D:$D,adProjIteration,PrdAdPassifEp!$E:$E,"3.AlmCr",PrdAdPassifEp!$G:$G,adProjCdCanton)</f>
        <v>0</v>
      </c>
      <c r="AX121" s="38">
        <f>SUMIFS(PrdAdPassifEp!$AN:$AN,PrdAdPassifEp!$B:$B,adProjChocS2,PrdAdPassifEp!$C:$C,adProjScenario,PrdAdPassifEp!$D:$D,adProjIteration,PrdAdPassifEp!$E:$E,"3.AlmCr",PrdAdPassifEp!$G:$G,adProjCdCanton)</f>
        <v>0</v>
      </c>
      <c r="AY121" s="38">
        <f>SUMIFS(PrdAdPassifEp!$AN:$AN,PrdAdPassifEp!$B:$B,adProjChocS2,PrdAdPassifEp!$C:$C,adProjScenario,PrdAdPassifEp!$D:$D,adProjIteration,PrdAdPassifEp!$E:$E,"3.AlmCr",PrdAdPassifEp!$G:$G,adProjCdCanton)</f>
        <v>0</v>
      </c>
      <c r="AZ121" s="38">
        <f>SUMIFS(PrdAdPassifEp!$AN:$AN,PrdAdPassifEp!$B:$B,adProjChocS2,PrdAdPassifEp!$C:$C,adProjScenario,PrdAdPassifEp!$D:$D,adProjIteration,PrdAdPassifEp!$E:$E,"3.AlmCr",PrdAdPassifEp!$G:$G,adProjCdCanton)</f>
        <v>0</v>
      </c>
      <c r="BA121" s="38">
        <f>SUMIFS(PrdAdPassifEp!$AN:$AN,PrdAdPassifEp!$B:$B,adProjChocS2,PrdAdPassifEp!$C:$C,adProjScenario,PrdAdPassifEp!$D:$D,adProjIteration,PrdAdPassifEp!$E:$E,"3.AlmCr",PrdAdPassifEp!$G:$G,adProjCdCanton)</f>
        <v>0</v>
      </c>
      <c r="BB121" s="38">
        <f>SUMIFS(PrdAdPassifEp!$AN:$AN,PrdAdPassifEp!$B:$B,adProjChocS2,PrdAdPassifEp!$C:$C,adProjScenario,PrdAdPassifEp!$D:$D,adProjIteration,PrdAdPassifEp!$E:$E,"3.AlmCr",PrdAdPassifEp!$G:$G,adProjCdCanton)</f>
        <v>0</v>
      </c>
    </row>
    <row r="122" spans="1:54" ht="15.75" customHeight="1" x14ac:dyDescent="0.3">
      <c r="A122" s="16"/>
      <c r="B122" s="34"/>
      <c r="C122" s="37" t="s">
        <v>100</v>
      </c>
      <c r="D122" s="38">
        <f>SUMIFS(PrdAdPassifEp!$AN:$AN,PrdAdPassifEp!$B:$B,adProjChocS2,PrdAdPassifEp!$C:$C,adProjScenario,PrdAdPassifEp!$D:$D,adProjIteration,PrdAdPassifEp!$E:$E,"3.AlmCr",PrdAdPassifEp!$G:$G,adProjCdCanton)</f>
        <v>0</v>
      </c>
      <c r="E122" s="38">
        <f>SUMIFS(PrdAdPassifEp!$AO:$AO,PrdAdPassifEp!$B:$B,adProjChocS2,PrdAdPassifEp!$C:$C,adProjScenario,PrdAdPassifEp!$D:$D,adProjIteration,PrdAdPassifEp!$E:$E,"3.AlmCr",PrdAdPassifEp!$G:$G,adProjCdCanton)</f>
        <v>0</v>
      </c>
      <c r="F122" s="38">
        <f>SUMIFS(PrdAdPassifEp!$AO:$AO,PrdAdPassifEp!$B:$B,adProjChocS2,PrdAdPassifEp!$C:$C,adProjScenario,PrdAdPassifEp!$D:$D,adProjIteration,PrdAdPassifEp!$E:$E,"3.AlmCr",PrdAdPassifEp!$G:$G,adProjCdCanton)</f>
        <v>0</v>
      </c>
      <c r="G122" s="38">
        <f>SUMIFS(PrdAdPassifEp!$AO:$AO,PrdAdPassifEp!$B:$B,adProjChocS2,PrdAdPassifEp!$C:$C,adProjScenario,PrdAdPassifEp!$D:$D,adProjIteration,PrdAdPassifEp!$E:$E,"3.AlmCr",PrdAdPassifEp!$G:$G,adProjCdCanton)</f>
        <v>0</v>
      </c>
      <c r="H122" s="38">
        <f>SUMIFS(PrdAdPassifEp!$AO:$AO,PrdAdPassifEp!$B:$B,adProjChocS2,PrdAdPassifEp!$C:$C,adProjScenario,PrdAdPassifEp!$D:$D,adProjIteration,PrdAdPassifEp!$E:$E,"3.AlmCr",PrdAdPassifEp!$G:$G,adProjCdCanton)</f>
        <v>0</v>
      </c>
      <c r="I122" s="38">
        <f>SUMIFS(PrdAdPassifEp!$AO:$AO,PrdAdPassifEp!$B:$B,adProjChocS2,PrdAdPassifEp!$C:$C,adProjScenario,PrdAdPassifEp!$D:$D,adProjIteration,PrdAdPassifEp!$E:$E,"3.AlmCr",PrdAdPassifEp!$G:$G,adProjCdCanton)</f>
        <v>0</v>
      </c>
      <c r="J122" s="38">
        <f>SUMIFS(PrdAdPassifEp!$AO:$AO,PrdAdPassifEp!$B:$B,adProjChocS2,PrdAdPassifEp!$C:$C,adProjScenario,PrdAdPassifEp!$D:$D,adProjIteration,PrdAdPassifEp!$E:$E,"3.AlmCr",PrdAdPassifEp!$G:$G,adProjCdCanton)</f>
        <v>0</v>
      </c>
      <c r="K122" s="38">
        <f>SUMIFS(PrdAdPassifEp!$AO:$AO,PrdAdPassifEp!$B:$B,adProjChocS2,PrdAdPassifEp!$C:$C,adProjScenario,PrdAdPassifEp!$D:$D,adProjIteration,PrdAdPassifEp!$E:$E,"3.AlmCr",PrdAdPassifEp!$G:$G,adProjCdCanton)</f>
        <v>0</v>
      </c>
      <c r="L122" s="38">
        <f>SUMIFS(PrdAdPassifEp!$AO:$AO,PrdAdPassifEp!$B:$B,adProjChocS2,PrdAdPassifEp!$C:$C,adProjScenario,PrdAdPassifEp!$D:$D,adProjIteration,PrdAdPassifEp!$E:$E,"3.AlmCr",PrdAdPassifEp!$G:$G,adProjCdCanton)</f>
        <v>0</v>
      </c>
      <c r="M122" s="38">
        <f>SUMIFS(PrdAdPassifEp!$AO:$AO,PrdAdPassifEp!$B:$B,adProjChocS2,PrdAdPassifEp!$C:$C,adProjScenario,PrdAdPassifEp!$D:$D,adProjIteration,PrdAdPassifEp!$E:$E,"3.AlmCr",PrdAdPassifEp!$G:$G,adProjCdCanton)</f>
        <v>0</v>
      </c>
      <c r="N122" s="38">
        <f>SUMIFS(PrdAdPassifEp!$AO:$AO,PrdAdPassifEp!$B:$B,adProjChocS2,PrdAdPassifEp!$C:$C,adProjScenario,PrdAdPassifEp!$D:$D,adProjIteration,PrdAdPassifEp!$E:$E,"3.AlmCr",PrdAdPassifEp!$G:$G,adProjCdCanton)</f>
        <v>0</v>
      </c>
      <c r="O122" s="38">
        <f>SUMIFS(PrdAdPassifEp!$AO:$AO,PrdAdPassifEp!$B:$B,adProjChocS2,PrdAdPassifEp!$C:$C,adProjScenario,PrdAdPassifEp!$D:$D,adProjIteration,PrdAdPassifEp!$E:$E,"3.AlmCr",PrdAdPassifEp!$G:$G,adProjCdCanton)</f>
        <v>0</v>
      </c>
      <c r="P122" s="38">
        <f>SUMIFS(PrdAdPassifEp!$AO:$AO,PrdAdPassifEp!$B:$B,adProjChocS2,PrdAdPassifEp!$C:$C,adProjScenario,PrdAdPassifEp!$D:$D,adProjIteration,PrdAdPassifEp!$E:$E,"3.AlmCr",PrdAdPassifEp!$G:$G,adProjCdCanton)</f>
        <v>0</v>
      </c>
      <c r="Q122" s="38">
        <f>SUMIFS(PrdAdPassifEp!$AO:$AO,PrdAdPassifEp!$B:$B,adProjChocS2,PrdAdPassifEp!$C:$C,adProjScenario,PrdAdPassifEp!$D:$D,adProjIteration,PrdAdPassifEp!$E:$E,"3.AlmCr",PrdAdPassifEp!$G:$G,adProjCdCanton)</f>
        <v>0</v>
      </c>
      <c r="R122" s="38">
        <f>SUMIFS(PrdAdPassifEp!$AO:$AO,PrdAdPassifEp!$B:$B,adProjChocS2,PrdAdPassifEp!$C:$C,adProjScenario,PrdAdPassifEp!$D:$D,adProjIteration,PrdAdPassifEp!$E:$E,"3.AlmCr",PrdAdPassifEp!$G:$G,adProjCdCanton)</f>
        <v>0</v>
      </c>
      <c r="S122" s="38">
        <f>SUMIFS(PrdAdPassifEp!$AO:$AO,PrdAdPassifEp!$B:$B,adProjChocS2,PrdAdPassifEp!$C:$C,adProjScenario,PrdAdPassifEp!$D:$D,adProjIteration,PrdAdPassifEp!$E:$E,"3.AlmCr",PrdAdPassifEp!$G:$G,adProjCdCanton)</f>
        <v>0</v>
      </c>
      <c r="T122" s="38">
        <f>SUMIFS(PrdAdPassifEp!$AO:$AO,PrdAdPassifEp!$B:$B,adProjChocS2,PrdAdPassifEp!$C:$C,adProjScenario,PrdAdPassifEp!$D:$D,adProjIteration,PrdAdPassifEp!$E:$E,"3.AlmCr",PrdAdPassifEp!$G:$G,adProjCdCanton)</f>
        <v>0</v>
      </c>
      <c r="U122" s="38">
        <f>SUMIFS(PrdAdPassifEp!$AO:$AO,PrdAdPassifEp!$B:$B,adProjChocS2,PrdAdPassifEp!$C:$C,adProjScenario,PrdAdPassifEp!$D:$D,adProjIteration,PrdAdPassifEp!$E:$E,"3.AlmCr",PrdAdPassifEp!$G:$G,adProjCdCanton)</f>
        <v>0</v>
      </c>
      <c r="V122" s="38">
        <f>SUMIFS(PrdAdPassifEp!$AO:$AO,PrdAdPassifEp!$B:$B,adProjChocS2,PrdAdPassifEp!$C:$C,adProjScenario,PrdAdPassifEp!$D:$D,adProjIteration,PrdAdPassifEp!$E:$E,"3.AlmCr",PrdAdPassifEp!$G:$G,adProjCdCanton)</f>
        <v>0</v>
      </c>
      <c r="W122" s="38">
        <f>SUMIFS(PrdAdPassifEp!$AO:$AO,PrdAdPassifEp!$B:$B,adProjChocS2,PrdAdPassifEp!$C:$C,adProjScenario,PrdAdPassifEp!$D:$D,adProjIteration,PrdAdPassifEp!$E:$E,"3.AlmCr",PrdAdPassifEp!$G:$G,adProjCdCanton)</f>
        <v>0</v>
      </c>
      <c r="X122" s="38">
        <f>SUMIFS(PrdAdPassifEp!$AO:$AO,PrdAdPassifEp!$B:$B,adProjChocS2,PrdAdPassifEp!$C:$C,adProjScenario,PrdAdPassifEp!$D:$D,adProjIteration,PrdAdPassifEp!$E:$E,"3.AlmCr",PrdAdPassifEp!$G:$G,adProjCdCanton)</f>
        <v>0</v>
      </c>
      <c r="Y122" s="38">
        <f>SUMIFS(PrdAdPassifEp!$AO:$AO,PrdAdPassifEp!$B:$B,adProjChocS2,PrdAdPassifEp!$C:$C,adProjScenario,PrdAdPassifEp!$D:$D,adProjIteration,PrdAdPassifEp!$E:$E,"3.AlmCr",PrdAdPassifEp!$G:$G,adProjCdCanton)</f>
        <v>0</v>
      </c>
      <c r="Z122" s="38">
        <f>SUMIFS(PrdAdPassifEp!$AO:$AO,PrdAdPassifEp!$B:$B,adProjChocS2,PrdAdPassifEp!$C:$C,adProjScenario,PrdAdPassifEp!$D:$D,adProjIteration,PrdAdPassifEp!$E:$E,"3.AlmCr",PrdAdPassifEp!$G:$G,adProjCdCanton)</f>
        <v>0</v>
      </c>
      <c r="AA122" s="38">
        <f>SUMIFS(PrdAdPassifEp!$AO:$AO,PrdAdPassifEp!$B:$B,adProjChocS2,PrdAdPassifEp!$C:$C,adProjScenario,PrdAdPassifEp!$D:$D,adProjIteration,PrdAdPassifEp!$E:$E,"3.AlmCr",PrdAdPassifEp!$G:$G,adProjCdCanton)</f>
        <v>0</v>
      </c>
      <c r="AB122" s="38">
        <f>SUMIFS(PrdAdPassifEp!$AO:$AO,PrdAdPassifEp!$B:$B,adProjChocS2,PrdAdPassifEp!$C:$C,adProjScenario,PrdAdPassifEp!$D:$D,adProjIteration,PrdAdPassifEp!$E:$E,"3.AlmCr",PrdAdPassifEp!$G:$G,adProjCdCanton)</f>
        <v>0</v>
      </c>
      <c r="AC122" s="38">
        <f>SUMIFS(PrdAdPassifEp!$AO:$AO,PrdAdPassifEp!$B:$B,adProjChocS2,PrdAdPassifEp!$C:$C,adProjScenario,PrdAdPassifEp!$D:$D,adProjIteration,PrdAdPassifEp!$E:$E,"3.AlmCr",PrdAdPassifEp!$G:$G,adProjCdCanton)</f>
        <v>0</v>
      </c>
      <c r="AD122" s="38">
        <f>SUMIFS(PrdAdPassifEp!$AO:$AO,PrdAdPassifEp!$B:$B,adProjChocS2,PrdAdPassifEp!$C:$C,adProjScenario,PrdAdPassifEp!$D:$D,adProjIteration,PrdAdPassifEp!$E:$E,"3.AlmCr",PrdAdPassifEp!$G:$G,adProjCdCanton)</f>
        <v>0</v>
      </c>
      <c r="AE122" s="38">
        <f>SUMIFS(PrdAdPassifEp!$AO:$AO,PrdAdPassifEp!$B:$B,adProjChocS2,PrdAdPassifEp!$C:$C,adProjScenario,PrdAdPassifEp!$D:$D,adProjIteration,PrdAdPassifEp!$E:$E,"3.AlmCr",PrdAdPassifEp!$G:$G,adProjCdCanton)</f>
        <v>0</v>
      </c>
      <c r="AF122" s="38">
        <f>SUMIFS(PrdAdPassifEp!$AO:$AO,PrdAdPassifEp!$B:$B,adProjChocS2,PrdAdPassifEp!$C:$C,adProjScenario,PrdAdPassifEp!$D:$D,adProjIteration,PrdAdPassifEp!$E:$E,"3.AlmCr",PrdAdPassifEp!$G:$G,adProjCdCanton)</f>
        <v>0</v>
      </c>
      <c r="AG122" s="38">
        <f>SUMIFS(PrdAdPassifEp!$AO:$AO,PrdAdPassifEp!$B:$B,adProjChocS2,PrdAdPassifEp!$C:$C,adProjScenario,PrdAdPassifEp!$D:$D,adProjIteration,PrdAdPassifEp!$E:$E,"3.AlmCr",PrdAdPassifEp!$G:$G,adProjCdCanton)</f>
        <v>0</v>
      </c>
      <c r="AH122" s="38">
        <f>SUMIFS(PrdAdPassifEp!$AO:$AO,PrdAdPassifEp!$B:$B,adProjChocS2,PrdAdPassifEp!$C:$C,adProjScenario,PrdAdPassifEp!$D:$D,adProjIteration,PrdAdPassifEp!$E:$E,"3.AlmCr",PrdAdPassifEp!$G:$G,adProjCdCanton)</f>
        <v>0</v>
      </c>
      <c r="AI122" s="38">
        <f>SUMIFS(PrdAdPassifEp!$AO:$AO,PrdAdPassifEp!$B:$B,adProjChocS2,PrdAdPassifEp!$C:$C,adProjScenario,PrdAdPassifEp!$D:$D,adProjIteration,PrdAdPassifEp!$E:$E,"3.AlmCr",PrdAdPassifEp!$G:$G,adProjCdCanton)</f>
        <v>0</v>
      </c>
      <c r="AJ122" s="38">
        <f>SUMIFS(PrdAdPassifEp!$AO:$AO,PrdAdPassifEp!$B:$B,adProjChocS2,PrdAdPassifEp!$C:$C,adProjScenario,PrdAdPassifEp!$D:$D,adProjIteration,PrdAdPassifEp!$E:$E,"3.AlmCr",PrdAdPassifEp!$G:$G,adProjCdCanton)</f>
        <v>0</v>
      </c>
      <c r="AK122" s="38">
        <f>SUMIFS(PrdAdPassifEp!$AO:$AO,PrdAdPassifEp!$B:$B,adProjChocS2,PrdAdPassifEp!$C:$C,adProjScenario,PrdAdPassifEp!$D:$D,adProjIteration,PrdAdPassifEp!$E:$E,"3.AlmCr",PrdAdPassifEp!$G:$G,adProjCdCanton)</f>
        <v>0</v>
      </c>
      <c r="AL122" s="38">
        <f>SUMIFS(PrdAdPassifEp!$AO:$AO,PrdAdPassifEp!$B:$B,adProjChocS2,PrdAdPassifEp!$C:$C,adProjScenario,PrdAdPassifEp!$D:$D,adProjIteration,PrdAdPassifEp!$E:$E,"3.AlmCr",PrdAdPassifEp!$G:$G,adProjCdCanton)</f>
        <v>0</v>
      </c>
      <c r="AM122" s="38">
        <f>SUMIFS(PrdAdPassifEp!$AO:$AO,PrdAdPassifEp!$B:$B,adProjChocS2,PrdAdPassifEp!$C:$C,adProjScenario,PrdAdPassifEp!$D:$D,adProjIteration,PrdAdPassifEp!$E:$E,"3.AlmCr",PrdAdPassifEp!$G:$G,adProjCdCanton)</f>
        <v>0</v>
      </c>
      <c r="AN122" s="38">
        <f>SUMIFS(PrdAdPassifEp!$AO:$AO,PrdAdPassifEp!$B:$B,adProjChocS2,PrdAdPassifEp!$C:$C,adProjScenario,PrdAdPassifEp!$D:$D,adProjIteration,PrdAdPassifEp!$E:$E,"3.AlmCr",PrdAdPassifEp!$G:$G,adProjCdCanton)</f>
        <v>0</v>
      </c>
      <c r="AO122" s="38">
        <f>SUMIFS(PrdAdPassifEp!$AO:$AO,PrdAdPassifEp!$B:$B,adProjChocS2,PrdAdPassifEp!$C:$C,adProjScenario,PrdAdPassifEp!$D:$D,adProjIteration,PrdAdPassifEp!$E:$E,"3.AlmCr",PrdAdPassifEp!$G:$G,adProjCdCanton)</f>
        <v>0</v>
      </c>
      <c r="AP122" s="38">
        <f>SUMIFS(PrdAdPassifEp!$AO:$AO,PrdAdPassifEp!$B:$B,adProjChocS2,PrdAdPassifEp!$C:$C,adProjScenario,PrdAdPassifEp!$D:$D,adProjIteration,PrdAdPassifEp!$E:$E,"3.AlmCr",PrdAdPassifEp!$G:$G,adProjCdCanton)</f>
        <v>0</v>
      </c>
      <c r="AQ122" s="38">
        <f>SUMIFS(PrdAdPassifEp!$AO:$AO,PrdAdPassifEp!$B:$B,adProjChocS2,PrdAdPassifEp!$C:$C,adProjScenario,PrdAdPassifEp!$D:$D,adProjIteration,PrdAdPassifEp!$E:$E,"3.AlmCr",PrdAdPassifEp!$G:$G,adProjCdCanton)</f>
        <v>0</v>
      </c>
      <c r="AR122" s="38">
        <f>SUMIFS(PrdAdPassifEp!$AO:$AO,PrdAdPassifEp!$B:$B,adProjChocS2,PrdAdPassifEp!$C:$C,adProjScenario,PrdAdPassifEp!$D:$D,adProjIteration,PrdAdPassifEp!$E:$E,"3.AlmCr",PrdAdPassifEp!$G:$G,adProjCdCanton)</f>
        <v>0</v>
      </c>
      <c r="AS122" s="38">
        <f>SUMIFS(PrdAdPassifEp!$AO:$AO,PrdAdPassifEp!$B:$B,adProjChocS2,PrdAdPassifEp!$C:$C,adProjScenario,PrdAdPassifEp!$D:$D,adProjIteration,PrdAdPassifEp!$E:$E,"3.AlmCr",PrdAdPassifEp!$G:$G,adProjCdCanton)</f>
        <v>0</v>
      </c>
      <c r="AT122" s="38">
        <f>SUMIFS(PrdAdPassifEp!$AO:$AO,PrdAdPassifEp!$B:$B,adProjChocS2,PrdAdPassifEp!$C:$C,adProjScenario,PrdAdPassifEp!$D:$D,adProjIteration,PrdAdPassifEp!$E:$E,"3.AlmCr",PrdAdPassifEp!$G:$G,adProjCdCanton)</f>
        <v>0</v>
      </c>
      <c r="AU122" s="38">
        <f>SUMIFS(PrdAdPassifEp!$AO:$AO,PrdAdPassifEp!$B:$B,adProjChocS2,PrdAdPassifEp!$C:$C,adProjScenario,PrdAdPassifEp!$D:$D,adProjIteration,PrdAdPassifEp!$E:$E,"3.AlmCr",PrdAdPassifEp!$G:$G,adProjCdCanton)</f>
        <v>0</v>
      </c>
      <c r="AV122" s="38">
        <f>SUMIFS(PrdAdPassifEp!$AO:$AO,PrdAdPassifEp!$B:$B,adProjChocS2,PrdAdPassifEp!$C:$C,adProjScenario,PrdAdPassifEp!$D:$D,adProjIteration,PrdAdPassifEp!$E:$E,"3.AlmCr",PrdAdPassifEp!$G:$G,adProjCdCanton)</f>
        <v>0</v>
      </c>
      <c r="AW122" s="38">
        <f>SUMIFS(PrdAdPassifEp!$AO:$AO,PrdAdPassifEp!$B:$B,adProjChocS2,PrdAdPassifEp!$C:$C,adProjScenario,PrdAdPassifEp!$D:$D,adProjIteration,PrdAdPassifEp!$E:$E,"3.AlmCr",PrdAdPassifEp!$G:$G,adProjCdCanton)</f>
        <v>0</v>
      </c>
      <c r="AX122" s="38">
        <f>SUMIFS(PrdAdPassifEp!$AO:$AO,PrdAdPassifEp!$B:$B,adProjChocS2,PrdAdPassifEp!$C:$C,adProjScenario,PrdAdPassifEp!$D:$D,adProjIteration,PrdAdPassifEp!$E:$E,"3.AlmCr",PrdAdPassifEp!$G:$G,adProjCdCanton)</f>
        <v>0</v>
      </c>
      <c r="AY122" s="38">
        <f>SUMIFS(PrdAdPassifEp!$AO:$AO,PrdAdPassifEp!$B:$B,adProjChocS2,PrdAdPassifEp!$C:$C,adProjScenario,PrdAdPassifEp!$D:$D,adProjIteration,PrdAdPassifEp!$E:$E,"3.AlmCr",PrdAdPassifEp!$G:$G,adProjCdCanton)</f>
        <v>0</v>
      </c>
      <c r="AZ122" s="38">
        <f>SUMIFS(PrdAdPassifEp!$AO:$AO,PrdAdPassifEp!$B:$B,adProjChocS2,PrdAdPassifEp!$C:$C,adProjScenario,PrdAdPassifEp!$D:$D,adProjIteration,PrdAdPassifEp!$E:$E,"3.AlmCr",PrdAdPassifEp!$G:$G,adProjCdCanton)</f>
        <v>0</v>
      </c>
      <c r="BA122" s="38">
        <f>SUMIFS(PrdAdPassifEp!$AO:$AO,PrdAdPassifEp!$B:$B,adProjChocS2,PrdAdPassifEp!$C:$C,adProjScenario,PrdAdPassifEp!$D:$D,adProjIteration,PrdAdPassifEp!$E:$E,"3.AlmCr",PrdAdPassifEp!$G:$G,adProjCdCanton)</f>
        <v>0</v>
      </c>
      <c r="BB122" s="38">
        <f>SUMIFS(PrdAdPassifEp!$AO:$AO,PrdAdPassifEp!$B:$B,adProjChocS2,PrdAdPassifEp!$C:$C,adProjScenario,PrdAdPassifEp!$D:$D,adProjIteration,PrdAdPassifEp!$E:$E,"3.AlmCr",PrdAdPassifEp!$G:$G,adProjCdCanton)</f>
        <v>0</v>
      </c>
    </row>
    <row r="123" spans="1:54" ht="15.75" customHeight="1" x14ac:dyDescent="0.3">
      <c r="A123" s="16"/>
      <c r="B123" s="34"/>
      <c r="C123" s="45" t="s">
        <v>101</v>
      </c>
      <c r="D123" s="38"/>
      <c r="E123" s="48" t="e">
        <f>(E122+E120)/E121</f>
        <v>#DIV/0!</v>
      </c>
      <c r="F123" s="48" t="e">
        <f t="shared" ref="F123:BB123" si="34">(F122+F120)/F121</f>
        <v>#DIV/0!</v>
      </c>
      <c r="G123" s="48" t="e">
        <f t="shared" si="34"/>
        <v>#DIV/0!</v>
      </c>
      <c r="H123" s="48" t="e">
        <f t="shared" si="34"/>
        <v>#DIV/0!</v>
      </c>
      <c r="I123" s="48" t="e">
        <f t="shared" si="34"/>
        <v>#DIV/0!</v>
      </c>
      <c r="J123" s="48" t="e">
        <f t="shared" si="34"/>
        <v>#DIV/0!</v>
      </c>
      <c r="K123" s="48" t="e">
        <f t="shared" si="34"/>
        <v>#DIV/0!</v>
      </c>
      <c r="L123" s="48" t="e">
        <f t="shared" si="34"/>
        <v>#DIV/0!</v>
      </c>
      <c r="M123" s="48" t="e">
        <f t="shared" si="34"/>
        <v>#DIV/0!</v>
      </c>
      <c r="N123" s="48" t="e">
        <f t="shared" si="34"/>
        <v>#DIV/0!</v>
      </c>
      <c r="O123" s="48" t="e">
        <f t="shared" si="34"/>
        <v>#DIV/0!</v>
      </c>
      <c r="P123" s="48" t="e">
        <f t="shared" si="34"/>
        <v>#DIV/0!</v>
      </c>
      <c r="Q123" s="48" t="e">
        <f t="shared" si="34"/>
        <v>#DIV/0!</v>
      </c>
      <c r="R123" s="48" t="e">
        <f t="shared" si="34"/>
        <v>#DIV/0!</v>
      </c>
      <c r="S123" s="48" t="e">
        <f t="shared" si="34"/>
        <v>#DIV/0!</v>
      </c>
      <c r="T123" s="48" t="e">
        <f t="shared" si="34"/>
        <v>#DIV/0!</v>
      </c>
      <c r="U123" s="48" t="e">
        <f t="shared" si="34"/>
        <v>#DIV/0!</v>
      </c>
      <c r="V123" s="48" t="e">
        <f t="shared" si="34"/>
        <v>#DIV/0!</v>
      </c>
      <c r="W123" s="48" t="e">
        <f t="shared" si="34"/>
        <v>#DIV/0!</v>
      </c>
      <c r="X123" s="48" t="e">
        <f t="shared" si="34"/>
        <v>#DIV/0!</v>
      </c>
      <c r="Y123" s="48" t="e">
        <f t="shared" si="34"/>
        <v>#DIV/0!</v>
      </c>
      <c r="Z123" s="48" t="e">
        <f t="shared" si="34"/>
        <v>#DIV/0!</v>
      </c>
      <c r="AA123" s="48" t="e">
        <f t="shared" si="34"/>
        <v>#DIV/0!</v>
      </c>
      <c r="AB123" s="48" t="e">
        <f t="shared" si="34"/>
        <v>#DIV/0!</v>
      </c>
      <c r="AC123" s="48" t="e">
        <f t="shared" si="34"/>
        <v>#DIV/0!</v>
      </c>
      <c r="AD123" s="48" t="e">
        <f t="shared" si="34"/>
        <v>#DIV/0!</v>
      </c>
      <c r="AE123" s="48" t="e">
        <f t="shared" si="34"/>
        <v>#DIV/0!</v>
      </c>
      <c r="AF123" s="48" t="e">
        <f t="shared" si="34"/>
        <v>#DIV/0!</v>
      </c>
      <c r="AG123" s="48" t="e">
        <f t="shared" si="34"/>
        <v>#DIV/0!</v>
      </c>
      <c r="AH123" s="48" t="e">
        <f t="shared" si="34"/>
        <v>#DIV/0!</v>
      </c>
      <c r="AI123" s="48" t="e">
        <f t="shared" si="34"/>
        <v>#DIV/0!</v>
      </c>
      <c r="AJ123" s="48" t="e">
        <f t="shared" si="34"/>
        <v>#DIV/0!</v>
      </c>
      <c r="AK123" s="48" t="e">
        <f t="shared" si="34"/>
        <v>#DIV/0!</v>
      </c>
      <c r="AL123" s="48" t="e">
        <f t="shared" si="34"/>
        <v>#DIV/0!</v>
      </c>
      <c r="AM123" s="48" t="e">
        <f t="shared" si="34"/>
        <v>#DIV/0!</v>
      </c>
      <c r="AN123" s="48" t="e">
        <f t="shared" si="34"/>
        <v>#DIV/0!</v>
      </c>
      <c r="AO123" s="48" t="e">
        <f t="shared" si="34"/>
        <v>#DIV/0!</v>
      </c>
      <c r="AP123" s="48" t="e">
        <f t="shared" si="34"/>
        <v>#DIV/0!</v>
      </c>
      <c r="AQ123" s="48" t="e">
        <f t="shared" si="34"/>
        <v>#DIV/0!</v>
      </c>
      <c r="AR123" s="48" t="e">
        <f t="shared" si="34"/>
        <v>#DIV/0!</v>
      </c>
      <c r="AS123" s="48" t="e">
        <f t="shared" si="34"/>
        <v>#DIV/0!</v>
      </c>
      <c r="AT123" s="48" t="e">
        <f t="shared" si="34"/>
        <v>#DIV/0!</v>
      </c>
      <c r="AU123" s="48" t="e">
        <f t="shared" si="34"/>
        <v>#DIV/0!</v>
      </c>
      <c r="AV123" s="48" t="e">
        <f t="shared" si="34"/>
        <v>#DIV/0!</v>
      </c>
      <c r="AW123" s="48" t="e">
        <f t="shared" si="34"/>
        <v>#DIV/0!</v>
      </c>
      <c r="AX123" s="48" t="e">
        <f t="shared" si="34"/>
        <v>#DIV/0!</v>
      </c>
      <c r="AY123" s="48" t="e">
        <f t="shared" si="34"/>
        <v>#DIV/0!</v>
      </c>
      <c r="AZ123" s="48" t="e">
        <f t="shared" si="34"/>
        <v>#DIV/0!</v>
      </c>
      <c r="BA123" s="48" t="e">
        <f t="shared" si="34"/>
        <v>#DIV/0!</v>
      </c>
      <c r="BB123" s="48" t="e">
        <f t="shared" si="34"/>
        <v>#DIV/0!</v>
      </c>
    </row>
    <row r="124" spans="1:54" ht="15.75" customHeight="1" x14ac:dyDescent="0.3">
      <c r="A124" s="16"/>
      <c r="B124" s="34"/>
      <c r="C124" s="45" t="s">
        <v>102</v>
      </c>
      <c r="D124" s="38"/>
      <c r="E124" s="38">
        <f t="shared" ref="E124:AJ124" si="35">adPmPerf+adPmPb</f>
        <v>0</v>
      </c>
      <c r="F124" s="38">
        <f t="shared" si="35"/>
        <v>0</v>
      </c>
      <c r="G124" s="38">
        <f t="shared" si="35"/>
        <v>0</v>
      </c>
      <c r="H124" s="38">
        <f t="shared" si="35"/>
        <v>0</v>
      </c>
      <c r="I124" s="38">
        <f t="shared" si="35"/>
        <v>0</v>
      </c>
      <c r="J124" s="38">
        <f t="shared" si="35"/>
        <v>0</v>
      </c>
      <c r="K124" s="38">
        <f t="shared" si="35"/>
        <v>0</v>
      </c>
      <c r="L124" s="38">
        <f t="shared" si="35"/>
        <v>0</v>
      </c>
      <c r="M124" s="38">
        <f t="shared" si="35"/>
        <v>0</v>
      </c>
      <c r="N124" s="38">
        <f t="shared" si="35"/>
        <v>0</v>
      </c>
      <c r="O124" s="38">
        <f t="shared" si="35"/>
        <v>0</v>
      </c>
      <c r="P124" s="38">
        <f t="shared" si="35"/>
        <v>0</v>
      </c>
      <c r="Q124" s="38">
        <f t="shared" si="35"/>
        <v>0</v>
      </c>
      <c r="R124" s="38">
        <f t="shared" si="35"/>
        <v>0</v>
      </c>
      <c r="S124" s="38">
        <f t="shared" si="35"/>
        <v>0</v>
      </c>
      <c r="T124" s="38">
        <f t="shared" si="35"/>
        <v>0</v>
      </c>
      <c r="U124" s="38">
        <f t="shared" si="35"/>
        <v>0</v>
      </c>
      <c r="V124" s="38">
        <f t="shared" si="35"/>
        <v>0</v>
      </c>
      <c r="W124" s="38">
        <f t="shared" si="35"/>
        <v>0</v>
      </c>
      <c r="X124" s="38">
        <f t="shared" si="35"/>
        <v>0</v>
      </c>
      <c r="Y124" s="38">
        <f t="shared" si="35"/>
        <v>0</v>
      </c>
      <c r="Z124" s="38">
        <f t="shared" si="35"/>
        <v>0</v>
      </c>
      <c r="AA124" s="38">
        <f t="shared" si="35"/>
        <v>0</v>
      </c>
      <c r="AB124" s="38">
        <f t="shared" si="35"/>
        <v>0</v>
      </c>
      <c r="AC124" s="38">
        <f t="shared" si="35"/>
        <v>0</v>
      </c>
      <c r="AD124" s="38">
        <f t="shared" si="35"/>
        <v>0</v>
      </c>
      <c r="AE124" s="38">
        <f t="shared" si="35"/>
        <v>0</v>
      </c>
      <c r="AF124" s="38">
        <f t="shared" si="35"/>
        <v>0</v>
      </c>
      <c r="AG124" s="38">
        <f t="shared" si="35"/>
        <v>0</v>
      </c>
      <c r="AH124" s="38">
        <f t="shared" si="35"/>
        <v>0</v>
      </c>
      <c r="AI124" s="38">
        <f t="shared" si="35"/>
        <v>0</v>
      </c>
      <c r="AJ124" s="38">
        <f t="shared" si="35"/>
        <v>0</v>
      </c>
      <c r="AK124" s="38">
        <f t="shared" ref="AK124:BB124" si="36">adPmPerf+adPmPb</f>
        <v>0</v>
      </c>
      <c r="AL124" s="38">
        <f t="shared" si="36"/>
        <v>0</v>
      </c>
      <c r="AM124" s="38">
        <f t="shared" si="36"/>
        <v>0</v>
      </c>
      <c r="AN124" s="38">
        <f t="shared" si="36"/>
        <v>0</v>
      </c>
      <c r="AO124" s="38">
        <f t="shared" si="36"/>
        <v>0</v>
      </c>
      <c r="AP124" s="38">
        <f t="shared" si="36"/>
        <v>0</v>
      </c>
      <c r="AQ124" s="38">
        <f t="shared" si="36"/>
        <v>0</v>
      </c>
      <c r="AR124" s="38">
        <f t="shared" si="36"/>
        <v>0</v>
      </c>
      <c r="AS124" s="38">
        <f t="shared" si="36"/>
        <v>0</v>
      </c>
      <c r="AT124" s="38">
        <f t="shared" si="36"/>
        <v>0</v>
      </c>
      <c r="AU124" s="38">
        <f t="shared" si="36"/>
        <v>0</v>
      </c>
      <c r="AV124" s="38">
        <f t="shared" si="36"/>
        <v>0</v>
      </c>
      <c r="AW124" s="38">
        <f t="shared" si="36"/>
        <v>0</v>
      </c>
      <c r="AX124" s="38">
        <f t="shared" si="36"/>
        <v>0</v>
      </c>
      <c r="AY124" s="38">
        <f t="shared" si="36"/>
        <v>0</v>
      </c>
      <c r="AZ124" s="38">
        <f t="shared" si="36"/>
        <v>0</v>
      </c>
      <c r="BA124" s="38">
        <f t="shared" si="36"/>
        <v>0</v>
      </c>
      <c r="BB124" s="38">
        <f t="shared" si="36"/>
        <v>0</v>
      </c>
    </row>
    <row r="125" spans="1:54" ht="15.75" customHeight="1" x14ac:dyDescent="0.3">
      <c r="A125" s="16"/>
      <c r="B125" s="34"/>
      <c r="C125" s="45" t="s">
        <v>103</v>
      </c>
      <c r="D125" s="46" t="b">
        <f>AND(E125:BB125)</f>
        <v>1</v>
      </c>
      <c r="E125" s="46" t="b">
        <f t="shared" ref="E125:AJ125" si="37">ABS(adPmFin-adPmFinCalc)&lt;1</f>
        <v>1</v>
      </c>
      <c r="F125" s="46" t="b">
        <f t="shared" si="37"/>
        <v>1</v>
      </c>
      <c r="G125" s="46" t="b">
        <f t="shared" si="37"/>
        <v>1</v>
      </c>
      <c r="H125" s="46" t="b">
        <f t="shared" si="37"/>
        <v>1</v>
      </c>
      <c r="I125" s="46" t="b">
        <f t="shared" si="37"/>
        <v>1</v>
      </c>
      <c r="J125" s="46" t="b">
        <f t="shared" si="37"/>
        <v>1</v>
      </c>
      <c r="K125" s="46" t="b">
        <f t="shared" si="37"/>
        <v>1</v>
      </c>
      <c r="L125" s="46" t="b">
        <f t="shared" si="37"/>
        <v>1</v>
      </c>
      <c r="M125" s="46" t="b">
        <f t="shared" si="37"/>
        <v>1</v>
      </c>
      <c r="N125" s="46" t="b">
        <f t="shared" si="37"/>
        <v>1</v>
      </c>
      <c r="O125" s="46" t="b">
        <f t="shared" si="37"/>
        <v>1</v>
      </c>
      <c r="P125" s="46" t="b">
        <f t="shared" si="37"/>
        <v>1</v>
      </c>
      <c r="Q125" s="46" t="b">
        <f t="shared" si="37"/>
        <v>1</v>
      </c>
      <c r="R125" s="46" t="b">
        <f t="shared" si="37"/>
        <v>1</v>
      </c>
      <c r="S125" s="46" t="b">
        <f t="shared" si="37"/>
        <v>1</v>
      </c>
      <c r="T125" s="46" t="b">
        <f t="shared" si="37"/>
        <v>1</v>
      </c>
      <c r="U125" s="46" t="b">
        <f t="shared" si="37"/>
        <v>1</v>
      </c>
      <c r="V125" s="46" t="b">
        <f t="shared" si="37"/>
        <v>1</v>
      </c>
      <c r="W125" s="46" t="b">
        <f t="shared" si="37"/>
        <v>1</v>
      </c>
      <c r="X125" s="46" t="b">
        <f t="shared" si="37"/>
        <v>1</v>
      </c>
      <c r="Y125" s="46" t="b">
        <f t="shared" si="37"/>
        <v>1</v>
      </c>
      <c r="Z125" s="46" t="b">
        <f t="shared" si="37"/>
        <v>1</v>
      </c>
      <c r="AA125" s="46" t="b">
        <f t="shared" si="37"/>
        <v>1</v>
      </c>
      <c r="AB125" s="46" t="b">
        <f t="shared" si="37"/>
        <v>1</v>
      </c>
      <c r="AC125" s="46" t="b">
        <f t="shared" si="37"/>
        <v>1</v>
      </c>
      <c r="AD125" s="46" t="b">
        <f t="shared" si="37"/>
        <v>1</v>
      </c>
      <c r="AE125" s="46" t="b">
        <f t="shared" si="37"/>
        <v>1</v>
      </c>
      <c r="AF125" s="46" t="b">
        <f t="shared" si="37"/>
        <v>1</v>
      </c>
      <c r="AG125" s="46" t="b">
        <f t="shared" si="37"/>
        <v>1</v>
      </c>
      <c r="AH125" s="46" t="b">
        <f t="shared" si="37"/>
        <v>1</v>
      </c>
      <c r="AI125" s="46" t="b">
        <f t="shared" si="37"/>
        <v>1</v>
      </c>
      <c r="AJ125" s="46" t="b">
        <f t="shared" si="37"/>
        <v>1</v>
      </c>
      <c r="AK125" s="46" t="b">
        <f t="shared" ref="AK125:BB125" si="38">ABS(adPmFin-adPmFinCalc)&lt;1</f>
        <v>1</v>
      </c>
      <c r="AL125" s="46" t="b">
        <f t="shared" si="38"/>
        <v>1</v>
      </c>
      <c r="AM125" s="46" t="b">
        <f t="shared" si="38"/>
        <v>1</v>
      </c>
      <c r="AN125" s="46" t="b">
        <f t="shared" si="38"/>
        <v>1</v>
      </c>
      <c r="AO125" s="46" t="b">
        <f t="shared" si="38"/>
        <v>1</v>
      </c>
      <c r="AP125" s="46" t="b">
        <f t="shared" si="38"/>
        <v>1</v>
      </c>
      <c r="AQ125" s="46" t="b">
        <f t="shared" si="38"/>
        <v>1</v>
      </c>
      <c r="AR125" s="46" t="b">
        <f t="shared" si="38"/>
        <v>1</v>
      </c>
      <c r="AS125" s="46" t="b">
        <f t="shared" si="38"/>
        <v>1</v>
      </c>
      <c r="AT125" s="46" t="b">
        <f t="shared" si="38"/>
        <v>1</v>
      </c>
      <c r="AU125" s="46" t="b">
        <f t="shared" si="38"/>
        <v>1</v>
      </c>
      <c r="AV125" s="46" t="b">
        <f t="shared" si="38"/>
        <v>1</v>
      </c>
      <c r="AW125" s="46" t="b">
        <f t="shared" si="38"/>
        <v>1</v>
      </c>
      <c r="AX125" s="46" t="b">
        <f t="shared" si="38"/>
        <v>1</v>
      </c>
      <c r="AY125" s="46" t="b">
        <f t="shared" si="38"/>
        <v>1</v>
      </c>
      <c r="AZ125" s="46" t="b">
        <f t="shared" si="38"/>
        <v>1</v>
      </c>
      <c r="BA125" s="46" t="b">
        <f t="shared" si="38"/>
        <v>1</v>
      </c>
      <c r="BB125" s="46" t="b">
        <f t="shared" si="38"/>
        <v>1</v>
      </c>
    </row>
    <row r="126" spans="1:54" ht="15.75" customHeight="1" x14ac:dyDescent="0.3">
      <c r="A126" s="16"/>
      <c r="B126" s="34"/>
      <c r="C126" s="37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</row>
    <row r="127" spans="1:54" ht="15.75" customHeight="1" x14ac:dyDescent="0.3">
      <c r="A127" s="16"/>
      <c r="B127" s="34"/>
      <c r="C127" s="39" t="s">
        <v>104</v>
      </c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</row>
    <row r="128" spans="1:54" ht="15.75" customHeight="1" x14ac:dyDescent="0.3">
      <c r="A128" s="16"/>
      <c r="B128" s="34"/>
      <c r="C128" s="37" t="s">
        <v>105</v>
      </c>
      <c r="D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E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F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G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H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I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J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K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L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M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N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O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P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Q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R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S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T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U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V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W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X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Y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Z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A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B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C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D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E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F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G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H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I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J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K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L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M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N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O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P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Q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R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S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T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U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V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W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X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Y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AZ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BA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  <c r="BB128" s="38">
        <f>SUMIFS(PrdAdPassifEp!$L:$L,PrdAdPassifEp!$B:$B,adProjChocS2,PrdAdPassifEp!$C:$C,adProjScenario,PrdAdPassifEp!$D:$D,adProjIteration,PrdAdPassifEp!$E:$E,"0.Init",PrdAdPassifEp!$G:$G,adProjCdCanton)+SUMIFS(PrdAdPassifEp!$L:$L,PrdAdPassifEp!$B:$B,adProjChocS2,PrdAdPassifEp!$C:$C,adProjScenario,PrdAdPassifEp!$D:$D,adProjIteration,PrdAdPassifEp!$E:$E,"1.Perf",PrdAdPassifEp!$G:$G,adProjCdCanton)</f>
        <v>0</v>
      </c>
    </row>
    <row r="129" spans="1:54" ht="15.75" customHeight="1" x14ac:dyDescent="0.3">
      <c r="A129" s="16"/>
      <c r="B129" s="34"/>
      <c r="C129" s="37" t="s">
        <v>106</v>
      </c>
      <c r="D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E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F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G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H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I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J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K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L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M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N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O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P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Q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R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S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T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U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V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W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X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Y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Z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A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B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C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D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E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F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G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H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I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J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K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L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M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N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O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P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Q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R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S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T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U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V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W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X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Y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AZ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BA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  <c r="BB129" s="38">
        <f>SUMIFS(PrdAdPassifEp!$N:$N,PrdAdPassifEp!$B:$B,adProjChocS2,PrdAdPassifEp!$C:$C,adProjScenario,PrdAdPassifEp!$D:$D,adProjIteration,PrdAdPassifEp!$E:$E,"0.Init",PrdAdPassifEp!$G:$G,adProjCdCanton)+SUMIFS(PrdAdPassifEp!$N:$N,PrdAdPassifEp!$B:$B,adProjChocS2,PrdAdPassifEp!$C:$C,adProjScenario,PrdAdPassifEp!$D:$D,adProjIteration,PrdAdPassifEp!$E:$E,"1.Perf",PrdAdPassifEp!$G:$G,adProjCdCanton)</f>
        <v>0</v>
      </c>
    </row>
    <row r="130" spans="1:54" ht="15.75" customHeight="1" x14ac:dyDescent="0.3">
      <c r="A130" s="16"/>
      <c r="B130" s="34"/>
      <c r="C130" s="37" t="s">
        <v>107</v>
      </c>
      <c r="D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E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F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G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H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I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J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K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L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M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N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O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P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Q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R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S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T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U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V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W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X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Y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Z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A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B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C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D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E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F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G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H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I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J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K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L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M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N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O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P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Q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R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S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T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U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V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W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X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Y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AZ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BA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  <c r="BB130" s="38">
        <f>SUMIFS(PrdAdPassifEp!$Q:$Q,PrdAdPassifEp!$B:$B,adProjChocS2,PrdAdPassifEp!$C:$C,adProjScenario,PrdAdPassifEp!$D:$D,adProjIteration,PrdAdPassifEp!$E:$E,"0.Init",PrdAdPassifEp!$G:$G,adProjCdCanton)+SUMIFS(PrdAdPassifEp!$P:$P,PrdAdPassifEp!$B:$B,adProjChocS2,PrdAdPassifEp!$C:$C,adProjScenario,PrdAdPassifEp!$D:$D,adProjIteration,PrdAdPassifEp!$E:$E,"1.Perf",PrdAdPassifEp!$G:$G,adProjCdCanton)</f>
        <v>0</v>
      </c>
    </row>
    <row r="131" spans="1:54" ht="15.75" customHeight="1" x14ac:dyDescent="0.3">
      <c r="A131" s="16"/>
      <c r="B131" s="34"/>
      <c r="C131" s="37" t="s">
        <v>108</v>
      </c>
      <c r="D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E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F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G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H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I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J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K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L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M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N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O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P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Q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R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S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T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U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V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W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X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Y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Z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A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B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C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D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E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F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G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H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I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J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K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L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M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N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O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P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Q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R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S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T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U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V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W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X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Y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AZ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BA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  <c r="BB131" s="38">
        <f>SUMIFS(PrdAdPassifEp!$AS:$AS,PrdAdPassifEp!$B:$B,adProjChocS2,PrdAdPassifEp!$C:$C,adProjScenario,PrdAdPassifEp!$D:$D,adProjIteration,PrdAdPassifEp!$E:$E,"0.Init",PrdAdPassifEp!$G:$G,adProjCdCanton)+SUMIFS(PrdAdPassifEp!$AS:$AS,PrdAdPassifEp!$B:$B,adProjChocS2,PrdAdPassifEp!$C:$C,adProjScenario,PrdAdPassifEp!$D:$D,adProjIteration,PrdAdPassifEp!$E:$E,"3.AlmCr",PrdAdPassifEp!$G:$G,adProjCdCanton)</f>
        <v>0</v>
      </c>
    </row>
    <row r="132" spans="1:54" ht="15.75" customHeight="1" x14ac:dyDescent="0.3">
      <c r="A132" s="16"/>
      <c r="B132" s="34"/>
      <c r="C132" s="37" t="s">
        <v>109</v>
      </c>
      <c r="D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E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F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G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H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I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J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K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L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M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N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O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P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Q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R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S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T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U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V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W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X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Y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Z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A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B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C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D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E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F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G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H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I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J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K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L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M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N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O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P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Q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R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S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T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U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V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W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X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Y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AZ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BA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  <c r="BB132" s="38">
        <f>SUMIFS(PrdAdPassifEp!$AT:$AT,PrdAdPassifEp!$B:$B,adProjChocS2,PrdAdPassifEp!$C:$C,adProjScenario,PrdAdPassifEp!$D:$D,adProjIteration,PrdAdPassifEp!$E:$E,"0.Init",PrdAdPassifEp!$G:$G,adProjCdCanton)+SUMIFS(PrdAdPassifEp!$AT:$AT,PrdAdPassifEp!$B:$B,adProjChocS2,PrdAdPassifEp!$C:$C,adProjScenario,PrdAdPassifEp!$D:$D,adProjIteration,PrdAdPassifEp!$E:$E,"3.AlmCr",PrdAdPassifEp!$G:$G,adProjCdCanton)</f>
        <v>0</v>
      </c>
    </row>
    <row r="133" spans="1:54" ht="15.75" customHeight="1" x14ac:dyDescent="0.3">
      <c r="A133" s="16"/>
      <c r="B133" s="34"/>
      <c r="C133" s="49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</row>
    <row r="134" spans="1:54" ht="15.75" customHeight="1" x14ac:dyDescent="0.3">
      <c r="A134" s="50"/>
      <c r="B134" s="1"/>
      <c r="C134" s="51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</row>
    <row r="135" spans="1:54" ht="16.5" x14ac:dyDescent="0.3">
      <c r="A135" s="16"/>
      <c r="B135" s="52" t="s">
        <v>110</v>
      </c>
      <c r="C135" s="53"/>
      <c r="D135" s="54">
        <v>0</v>
      </c>
      <c r="E135" s="54">
        <v>1</v>
      </c>
      <c r="F135" s="54">
        <v>2</v>
      </c>
      <c r="G135" s="54">
        <v>3</v>
      </c>
      <c r="H135" s="54">
        <v>4</v>
      </c>
      <c r="I135" s="54">
        <v>5</v>
      </c>
      <c r="J135" s="54">
        <v>6</v>
      </c>
      <c r="K135" s="54">
        <v>7</v>
      </c>
      <c r="L135" s="54">
        <v>8</v>
      </c>
      <c r="M135" s="54">
        <v>9</v>
      </c>
      <c r="N135" s="54">
        <v>10</v>
      </c>
      <c r="O135" s="54">
        <v>11</v>
      </c>
      <c r="P135" s="54">
        <v>12</v>
      </c>
      <c r="Q135" s="54">
        <v>13</v>
      </c>
      <c r="R135" s="54">
        <v>14</v>
      </c>
      <c r="S135" s="54">
        <v>15</v>
      </c>
      <c r="T135" s="54">
        <v>16</v>
      </c>
      <c r="U135" s="54">
        <v>17</v>
      </c>
      <c r="V135" s="54">
        <v>18</v>
      </c>
      <c r="W135" s="54">
        <v>19</v>
      </c>
      <c r="X135" s="54">
        <v>20</v>
      </c>
      <c r="Y135" s="54">
        <v>21</v>
      </c>
      <c r="Z135" s="54">
        <v>22</v>
      </c>
      <c r="AA135" s="54">
        <v>23</v>
      </c>
      <c r="AB135" s="54">
        <v>24</v>
      </c>
      <c r="AC135" s="54">
        <v>25</v>
      </c>
      <c r="AD135" s="54">
        <v>26</v>
      </c>
      <c r="AE135" s="54">
        <v>27</v>
      </c>
      <c r="AF135" s="54">
        <v>28</v>
      </c>
      <c r="AG135" s="54">
        <v>29</v>
      </c>
      <c r="AH135" s="54">
        <v>30</v>
      </c>
      <c r="AI135" s="54">
        <v>31</v>
      </c>
      <c r="AJ135" s="54">
        <v>32</v>
      </c>
      <c r="AK135" s="54">
        <v>33</v>
      </c>
      <c r="AL135" s="54">
        <v>34</v>
      </c>
      <c r="AM135" s="54">
        <v>35</v>
      </c>
      <c r="AN135" s="54">
        <v>36</v>
      </c>
      <c r="AO135" s="54">
        <v>37</v>
      </c>
      <c r="AP135" s="54">
        <v>38</v>
      </c>
      <c r="AQ135" s="54">
        <v>39</v>
      </c>
      <c r="AR135" s="54">
        <v>40</v>
      </c>
      <c r="AS135" s="54">
        <v>41</v>
      </c>
      <c r="AT135" s="54">
        <v>42</v>
      </c>
      <c r="AU135" s="54">
        <v>43</v>
      </c>
      <c r="AV135" s="54">
        <v>44</v>
      </c>
      <c r="AW135" s="54">
        <v>45</v>
      </c>
      <c r="AX135" s="54">
        <v>46</v>
      </c>
      <c r="AY135" s="54">
        <v>47</v>
      </c>
      <c r="AZ135" s="54">
        <v>48</v>
      </c>
      <c r="BA135" s="54">
        <v>49</v>
      </c>
      <c r="BB135" s="55">
        <v>50</v>
      </c>
    </row>
    <row r="136" spans="1:54" ht="16.5" x14ac:dyDescent="0.3">
      <c r="A136" s="16"/>
      <c r="B136" s="56"/>
      <c r="C136" s="57" t="s">
        <v>111</v>
      </c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</row>
    <row r="137" spans="1:54" ht="16.5" x14ac:dyDescent="0.3">
      <c r="A137" s="16"/>
      <c r="B137" s="56"/>
      <c r="C137" s="59" t="s">
        <v>112</v>
      </c>
      <c r="D137" s="60">
        <f t="shared" ref="D137:AI137" si="39">adPmDebut-adPmPerf</f>
        <v>0</v>
      </c>
      <c r="E137" s="60">
        <f t="shared" si="39"/>
        <v>0</v>
      </c>
      <c r="F137" s="60">
        <f t="shared" si="39"/>
        <v>0</v>
      </c>
      <c r="G137" s="60">
        <f t="shared" si="39"/>
        <v>0</v>
      </c>
      <c r="H137" s="60">
        <f t="shared" si="39"/>
        <v>0</v>
      </c>
      <c r="I137" s="60">
        <f t="shared" si="39"/>
        <v>0</v>
      </c>
      <c r="J137" s="60">
        <f t="shared" si="39"/>
        <v>0</v>
      </c>
      <c r="K137" s="60">
        <f t="shared" si="39"/>
        <v>0</v>
      </c>
      <c r="L137" s="60">
        <f t="shared" si="39"/>
        <v>0</v>
      </c>
      <c r="M137" s="60">
        <f t="shared" si="39"/>
        <v>0</v>
      </c>
      <c r="N137" s="60">
        <f t="shared" si="39"/>
        <v>0</v>
      </c>
      <c r="O137" s="60">
        <f t="shared" si="39"/>
        <v>0</v>
      </c>
      <c r="P137" s="60">
        <f t="shared" si="39"/>
        <v>0</v>
      </c>
      <c r="Q137" s="60">
        <f t="shared" si="39"/>
        <v>0</v>
      </c>
      <c r="R137" s="60">
        <f t="shared" si="39"/>
        <v>0</v>
      </c>
      <c r="S137" s="60">
        <f t="shared" si="39"/>
        <v>0</v>
      </c>
      <c r="T137" s="60">
        <f t="shared" si="39"/>
        <v>0</v>
      </c>
      <c r="U137" s="60">
        <f t="shared" si="39"/>
        <v>0</v>
      </c>
      <c r="V137" s="60">
        <f t="shared" si="39"/>
        <v>0</v>
      </c>
      <c r="W137" s="60">
        <f t="shared" si="39"/>
        <v>0</v>
      </c>
      <c r="X137" s="60">
        <f t="shared" si="39"/>
        <v>0</v>
      </c>
      <c r="Y137" s="60">
        <f t="shared" si="39"/>
        <v>0</v>
      </c>
      <c r="Z137" s="60">
        <f t="shared" si="39"/>
        <v>0</v>
      </c>
      <c r="AA137" s="60">
        <f t="shared" si="39"/>
        <v>0</v>
      </c>
      <c r="AB137" s="60">
        <f t="shared" si="39"/>
        <v>0</v>
      </c>
      <c r="AC137" s="60">
        <f t="shared" si="39"/>
        <v>0</v>
      </c>
      <c r="AD137" s="60">
        <f t="shared" si="39"/>
        <v>0</v>
      </c>
      <c r="AE137" s="60">
        <f t="shared" si="39"/>
        <v>0</v>
      </c>
      <c r="AF137" s="60">
        <f t="shared" si="39"/>
        <v>0</v>
      </c>
      <c r="AG137" s="60">
        <f t="shared" si="39"/>
        <v>0</v>
      </c>
      <c r="AH137" s="60">
        <f t="shared" si="39"/>
        <v>0</v>
      </c>
      <c r="AI137" s="60">
        <f t="shared" si="39"/>
        <v>0</v>
      </c>
      <c r="AJ137" s="60">
        <f t="shared" ref="AJ137:BB137" si="40">adPmDebut-adPmPerf</f>
        <v>0</v>
      </c>
      <c r="AK137" s="60">
        <f t="shared" si="40"/>
        <v>0</v>
      </c>
      <c r="AL137" s="60">
        <f t="shared" si="40"/>
        <v>0</v>
      </c>
      <c r="AM137" s="60">
        <f t="shared" si="40"/>
        <v>0</v>
      </c>
      <c r="AN137" s="60">
        <f t="shared" si="40"/>
        <v>0</v>
      </c>
      <c r="AO137" s="60">
        <f t="shared" si="40"/>
        <v>0</v>
      </c>
      <c r="AP137" s="60">
        <f t="shared" si="40"/>
        <v>0</v>
      </c>
      <c r="AQ137" s="60">
        <f t="shared" si="40"/>
        <v>0</v>
      </c>
      <c r="AR137" s="60">
        <f t="shared" si="40"/>
        <v>0</v>
      </c>
      <c r="AS137" s="60">
        <f t="shared" si="40"/>
        <v>0</v>
      </c>
      <c r="AT137" s="60">
        <f t="shared" si="40"/>
        <v>0</v>
      </c>
      <c r="AU137" s="60">
        <f t="shared" si="40"/>
        <v>0</v>
      </c>
      <c r="AV137" s="60">
        <f t="shared" si="40"/>
        <v>0</v>
      </c>
      <c r="AW137" s="60">
        <f t="shared" si="40"/>
        <v>0</v>
      </c>
      <c r="AX137" s="60">
        <f t="shared" si="40"/>
        <v>0</v>
      </c>
      <c r="AY137" s="60">
        <f t="shared" si="40"/>
        <v>0</v>
      </c>
      <c r="AZ137" s="60">
        <f t="shared" si="40"/>
        <v>0</v>
      </c>
      <c r="BA137" s="60">
        <f t="shared" si="40"/>
        <v>0</v>
      </c>
      <c r="BB137" s="60">
        <f t="shared" si="40"/>
        <v>0</v>
      </c>
    </row>
    <row r="138" spans="1:54" ht="16.5" x14ac:dyDescent="0.3">
      <c r="A138" s="16"/>
      <c r="B138" s="56"/>
      <c r="C138" s="59" t="s">
        <v>113</v>
      </c>
      <c r="D138" s="60">
        <f t="shared" ref="D138:AI138" si="41">adPrstTotNet</f>
        <v>0</v>
      </c>
      <c r="E138" s="60">
        <f t="shared" si="41"/>
        <v>0</v>
      </c>
      <c r="F138" s="60">
        <f t="shared" si="41"/>
        <v>0</v>
      </c>
      <c r="G138" s="60">
        <f t="shared" si="41"/>
        <v>0</v>
      </c>
      <c r="H138" s="60">
        <f t="shared" si="41"/>
        <v>0</v>
      </c>
      <c r="I138" s="60">
        <f t="shared" si="41"/>
        <v>0</v>
      </c>
      <c r="J138" s="60">
        <f t="shared" si="41"/>
        <v>0</v>
      </c>
      <c r="K138" s="60">
        <f t="shared" si="41"/>
        <v>0</v>
      </c>
      <c r="L138" s="60">
        <f t="shared" si="41"/>
        <v>0</v>
      </c>
      <c r="M138" s="60">
        <f t="shared" si="41"/>
        <v>0</v>
      </c>
      <c r="N138" s="60">
        <f t="shared" si="41"/>
        <v>0</v>
      </c>
      <c r="O138" s="60">
        <f t="shared" si="41"/>
        <v>0</v>
      </c>
      <c r="P138" s="60">
        <f t="shared" si="41"/>
        <v>0</v>
      </c>
      <c r="Q138" s="60">
        <f t="shared" si="41"/>
        <v>0</v>
      </c>
      <c r="R138" s="60">
        <f t="shared" si="41"/>
        <v>0</v>
      </c>
      <c r="S138" s="60">
        <f t="shared" si="41"/>
        <v>0</v>
      </c>
      <c r="T138" s="60">
        <f t="shared" si="41"/>
        <v>0</v>
      </c>
      <c r="U138" s="60">
        <f t="shared" si="41"/>
        <v>0</v>
      </c>
      <c r="V138" s="60">
        <f t="shared" si="41"/>
        <v>0</v>
      </c>
      <c r="W138" s="60">
        <f t="shared" si="41"/>
        <v>0</v>
      </c>
      <c r="X138" s="60">
        <f t="shared" si="41"/>
        <v>0</v>
      </c>
      <c r="Y138" s="60">
        <f t="shared" si="41"/>
        <v>0</v>
      </c>
      <c r="Z138" s="60">
        <f t="shared" si="41"/>
        <v>0</v>
      </c>
      <c r="AA138" s="60">
        <f t="shared" si="41"/>
        <v>0</v>
      </c>
      <c r="AB138" s="60">
        <f t="shared" si="41"/>
        <v>0</v>
      </c>
      <c r="AC138" s="60">
        <f t="shared" si="41"/>
        <v>0</v>
      </c>
      <c r="AD138" s="60">
        <f t="shared" si="41"/>
        <v>0</v>
      </c>
      <c r="AE138" s="60">
        <f t="shared" si="41"/>
        <v>0</v>
      </c>
      <c r="AF138" s="60">
        <f t="shared" si="41"/>
        <v>0</v>
      </c>
      <c r="AG138" s="60">
        <f t="shared" si="41"/>
        <v>0</v>
      </c>
      <c r="AH138" s="60">
        <f t="shared" si="41"/>
        <v>0</v>
      </c>
      <c r="AI138" s="60">
        <f t="shared" si="41"/>
        <v>0</v>
      </c>
      <c r="AJ138" s="60">
        <f t="shared" ref="AJ138:BB138" si="42">adPrstTotNet</f>
        <v>0</v>
      </c>
      <c r="AK138" s="60">
        <f t="shared" si="42"/>
        <v>0</v>
      </c>
      <c r="AL138" s="60">
        <f t="shared" si="42"/>
        <v>0</v>
      </c>
      <c r="AM138" s="60">
        <f t="shared" si="42"/>
        <v>0</v>
      </c>
      <c r="AN138" s="60">
        <f t="shared" si="42"/>
        <v>0</v>
      </c>
      <c r="AO138" s="60">
        <f t="shared" si="42"/>
        <v>0</v>
      </c>
      <c r="AP138" s="60">
        <f t="shared" si="42"/>
        <v>0</v>
      </c>
      <c r="AQ138" s="60">
        <f t="shared" si="42"/>
        <v>0</v>
      </c>
      <c r="AR138" s="60">
        <f t="shared" si="42"/>
        <v>0</v>
      </c>
      <c r="AS138" s="60">
        <f t="shared" si="42"/>
        <v>0</v>
      </c>
      <c r="AT138" s="60">
        <f t="shared" si="42"/>
        <v>0</v>
      </c>
      <c r="AU138" s="60">
        <f t="shared" si="42"/>
        <v>0</v>
      </c>
      <c r="AV138" s="60">
        <f t="shared" si="42"/>
        <v>0</v>
      </c>
      <c r="AW138" s="60">
        <f t="shared" si="42"/>
        <v>0</v>
      </c>
      <c r="AX138" s="60">
        <f t="shared" si="42"/>
        <v>0</v>
      </c>
      <c r="AY138" s="60">
        <f t="shared" si="42"/>
        <v>0</v>
      </c>
      <c r="AZ138" s="60">
        <f t="shared" si="42"/>
        <v>0</v>
      </c>
      <c r="BA138" s="60">
        <f t="shared" si="42"/>
        <v>0</v>
      </c>
      <c r="BB138" s="60">
        <f t="shared" si="42"/>
        <v>0</v>
      </c>
    </row>
    <row r="139" spans="1:54" ht="16.5" x14ac:dyDescent="0.3">
      <c r="A139" s="16"/>
      <c r="B139" s="56"/>
      <c r="C139" s="59" t="s">
        <v>114</v>
      </c>
      <c r="D139" s="60">
        <f t="shared" ref="D139:AI139" si="43">adPrstTotChgt</f>
        <v>0</v>
      </c>
      <c r="E139" s="60">
        <f t="shared" si="43"/>
        <v>0</v>
      </c>
      <c r="F139" s="60">
        <f t="shared" si="43"/>
        <v>0</v>
      </c>
      <c r="G139" s="60">
        <f t="shared" si="43"/>
        <v>0</v>
      </c>
      <c r="H139" s="60">
        <f t="shared" si="43"/>
        <v>0</v>
      </c>
      <c r="I139" s="60">
        <f t="shared" si="43"/>
        <v>0</v>
      </c>
      <c r="J139" s="60">
        <f t="shared" si="43"/>
        <v>0</v>
      </c>
      <c r="K139" s="60">
        <f t="shared" si="43"/>
        <v>0</v>
      </c>
      <c r="L139" s="60">
        <f t="shared" si="43"/>
        <v>0</v>
      </c>
      <c r="M139" s="60">
        <f t="shared" si="43"/>
        <v>0</v>
      </c>
      <c r="N139" s="60">
        <f t="shared" si="43"/>
        <v>0</v>
      </c>
      <c r="O139" s="60">
        <f t="shared" si="43"/>
        <v>0</v>
      </c>
      <c r="P139" s="60">
        <f t="shared" si="43"/>
        <v>0</v>
      </c>
      <c r="Q139" s="60">
        <f t="shared" si="43"/>
        <v>0</v>
      </c>
      <c r="R139" s="60">
        <f t="shared" si="43"/>
        <v>0</v>
      </c>
      <c r="S139" s="60">
        <f t="shared" si="43"/>
        <v>0</v>
      </c>
      <c r="T139" s="60">
        <f t="shared" si="43"/>
        <v>0</v>
      </c>
      <c r="U139" s="60">
        <f t="shared" si="43"/>
        <v>0</v>
      </c>
      <c r="V139" s="60">
        <f t="shared" si="43"/>
        <v>0</v>
      </c>
      <c r="W139" s="60">
        <f t="shared" si="43"/>
        <v>0</v>
      </c>
      <c r="X139" s="60">
        <f t="shared" si="43"/>
        <v>0</v>
      </c>
      <c r="Y139" s="60">
        <f t="shared" si="43"/>
        <v>0</v>
      </c>
      <c r="Z139" s="60">
        <f t="shared" si="43"/>
        <v>0</v>
      </c>
      <c r="AA139" s="60">
        <f t="shared" si="43"/>
        <v>0</v>
      </c>
      <c r="AB139" s="60">
        <f t="shared" si="43"/>
        <v>0</v>
      </c>
      <c r="AC139" s="60">
        <f t="shared" si="43"/>
        <v>0</v>
      </c>
      <c r="AD139" s="60">
        <f t="shared" si="43"/>
        <v>0</v>
      </c>
      <c r="AE139" s="60">
        <f t="shared" si="43"/>
        <v>0</v>
      </c>
      <c r="AF139" s="60">
        <f t="shared" si="43"/>
        <v>0</v>
      </c>
      <c r="AG139" s="60">
        <f t="shared" si="43"/>
        <v>0</v>
      </c>
      <c r="AH139" s="60">
        <f t="shared" si="43"/>
        <v>0</v>
      </c>
      <c r="AI139" s="60">
        <f t="shared" si="43"/>
        <v>0</v>
      </c>
      <c r="AJ139" s="60">
        <f t="shared" ref="AJ139:BB139" si="44">adPrstTotChgt</f>
        <v>0</v>
      </c>
      <c r="AK139" s="60">
        <f t="shared" si="44"/>
        <v>0</v>
      </c>
      <c r="AL139" s="60">
        <f t="shared" si="44"/>
        <v>0</v>
      </c>
      <c r="AM139" s="60">
        <f t="shared" si="44"/>
        <v>0</v>
      </c>
      <c r="AN139" s="60">
        <f t="shared" si="44"/>
        <v>0</v>
      </c>
      <c r="AO139" s="60">
        <f t="shared" si="44"/>
        <v>0</v>
      </c>
      <c r="AP139" s="60">
        <f t="shared" si="44"/>
        <v>0</v>
      </c>
      <c r="AQ139" s="60">
        <f t="shared" si="44"/>
        <v>0</v>
      </c>
      <c r="AR139" s="60">
        <f t="shared" si="44"/>
        <v>0</v>
      </c>
      <c r="AS139" s="60">
        <f t="shared" si="44"/>
        <v>0</v>
      </c>
      <c r="AT139" s="60">
        <f t="shared" si="44"/>
        <v>0</v>
      </c>
      <c r="AU139" s="60">
        <f t="shared" si="44"/>
        <v>0</v>
      </c>
      <c r="AV139" s="60">
        <f t="shared" si="44"/>
        <v>0</v>
      </c>
      <c r="AW139" s="60">
        <f t="shared" si="44"/>
        <v>0</v>
      </c>
      <c r="AX139" s="60">
        <f t="shared" si="44"/>
        <v>0</v>
      </c>
      <c r="AY139" s="60">
        <f t="shared" si="44"/>
        <v>0</v>
      </c>
      <c r="AZ139" s="60">
        <f t="shared" si="44"/>
        <v>0</v>
      </c>
      <c r="BA139" s="60">
        <f t="shared" si="44"/>
        <v>0</v>
      </c>
      <c r="BB139" s="60">
        <f t="shared" si="44"/>
        <v>0</v>
      </c>
    </row>
    <row r="140" spans="1:54" ht="16.5" x14ac:dyDescent="0.3">
      <c r="A140" s="16"/>
      <c r="B140" s="56"/>
      <c r="C140" s="59" t="s">
        <v>115</v>
      </c>
      <c r="D140" s="60">
        <f>SUMIFS(#REF!,#REF!,adProjChocS2,#REF!,adProjScenario,#REF!,adProjIteration,#REF!,adProjCdCanton)</f>
        <v>0</v>
      </c>
      <c r="E140" s="60">
        <f>SUMIFS(#REF!,#REF!,adProjChocS2,#REF!,adProjScenario,#REF!,adProjIteration,#REF!,adProjCdCanton)</f>
        <v>0</v>
      </c>
      <c r="F140" s="60">
        <f>SUMIFS(#REF!,#REF!,adProjChocS2,#REF!,adProjScenario,#REF!,adProjIteration,#REF!,adProjCdCanton)</f>
        <v>0</v>
      </c>
      <c r="G140" s="60">
        <f>SUMIFS(#REF!,#REF!,adProjChocS2,#REF!,adProjScenario,#REF!,adProjIteration,#REF!,adProjCdCanton)</f>
        <v>0</v>
      </c>
      <c r="H140" s="60">
        <f>SUMIFS(#REF!,#REF!,adProjChocS2,#REF!,adProjScenario,#REF!,adProjIteration,#REF!,adProjCdCanton)</f>
        <v>0</v>
      </c>
      <c r="I140" s="60">
        <f>SUMIFS(#REF!,#REF!,adProjChocS2,#REF!,adProjScenario,#REF!,adProjIteration,#REF!,adProjCdCanton)</f>
        <v>0</v>
      </c>
      <c r="J140" s="60">
        <f>SUMIFS(#REF!,#REF!,adProjChocS2,#REF!,adProjScenario,#REF!,adProjIteration,#REF!,adProjCdCanton)</f>
        <v>0</v>
      </c>
      <c r="K140" s="60">
        <f>SUMIFS(#REF!,#REF!,adProjChocS2,#REF!,adProjScenario,#REF!,adProjIteration,#REF!,adProjCdCanton)</f>
        <v>0</v>
      </c>
      <c r="L140" s="60">
        <f>SUMIFS(#REF!,#REF!,adProjChocS2,#REF!,adProjScenario,#REF!,adProjIteration,#REF!,adProjCdCanton)</f>
        <v>0</v>
      </c>
      <c r="M140" s="60">
        <f>SUMIFS(#REF!,#REF!,adProjChocS2,#REF!,adProjScenario,#REF!,adProjIteration,#REF!,adProjCdCanton)</f>
        <v>0</v>
      </c>
      <c r="N140" s="60">
        <f>SUMIFS(#REF!,#REF!,adProjChocS2,#REF!,adProjScenario,#REF!,adProjIteration,#REF!,adProjCdCanton)</f>
        <v>0</v>
      </c>
      <c r="O140" s="60">
        <f>SUMIFS(#REF!,#REF!,adProjChocS2,#REF!,adProjScenario,#REF!,adProjIteration,#REF!,adProjCdCanton)</f>
        <v>0</v>
      </c>
      <c r="P140" s="60">
        <f>SUMIFS(#REF!,#REF!,adProjChocS2,#REF!,adProjScenario,#REF!,adProjIteration,#REF!,adProjCdCanton)</f>
        <v>0</v>
      </c>
      <c r="Q140" s="60">
        <f>SUMIFS(#REF!,#REF!,adProjChocS2,#REF!,adProjScenario,#REF!,adProjIteration,#REF!,adProjCdCanton)</f>
        <v>0</v>
      </c>
      <c r="R140" s="60">
        <f>SUMIFS(#REF!,#REF!,adProjChocS2,#REF!,adProjScenario,#REF!,adProjIteration,#REF!,adProjCdCanton)</f>
        <v>0</v>
      </c>
      <c r="S140" s="60">
        <f>SUMIFS(#REF!,#REF!,adProjChocS2,#REF!,adProjScenario,#REF!,adProjIteration,#REF!,adProjCdCanton)</f>
        <v>0</v>
      </c>
      <c r="T140" s="60">
        <f>SUMIFS(#REF!,#REF!,adProjChocS2,#REF!,adProjScenario,#REF!,adProjIteration,#REF!,adProjCdCanton)</f>
        <v>0</v>
      </c>
      <c r="U140" s="60">
        <f>SUMIFS(#REF!,#REF!,adProjChocS2,#REF!,adProjScenario,#REF!,adProjIteration,#REF!,adProjCdCanton)</f>
        <v>0</v>
      </c>
      <c r="V140" s="60">
        <f>SUMIFS(#REF!,#REF!,adProjChocS2,#REF!,adProjScenario,#REF!,adProjIteration,#REF!,adProjCdCanton)</f>
        <v>0</v>
      </c>
      <c r="W140" s="60">
        <f>SUMIFS(#REF!,#REF!,adProjChocS2,#REF!,adProjScenario,#REF!,adProjIteration,#REF!,adProjCdCanton)</f>
        <v>0</v>
      </c>
      <c r="X140" s="60">
        <f>SUMIFS(#REF!,#REF!,adProjChocS2,#REF!,adProjScenario,#REF!,adProjIteration,#REF!,adProjCdCanton)</f>
        <v>0</v>
      </c>
      <c r="Y140" s="60">
        <f>SUMIFS(#REF!,#REF!,adProjChocS2,#REF!,adProjScenario,#REF!,adProjIteration,#REF!,adProjCdCanton)</f>
        <v>0</v>
      </c>
      <c r="Z140" s="60">
        <f>SUMIFS(#REF!,#REF!,adProjChocS2,#REF!,adProjScenario,#REF!,adProjIteration,#REF!,adProjCdCanton)</f>
        <v>0</v>
      </c>
      <c r="AA140" s="60">
        <f>SUMIFS(#REF!,#REF!,adProjChocS2,#REF!,adProjScenario,#REF!,adProjIteration,#REF!,adProjCdCanton)</f>
        <v>0</v>
      </c>
      <c r="AB140" s="60">
        <f>SUMIFS(#REF!,#REF!,adProjChocS2,#REF!,adProjScenario,#REF!,adProjIteration,#REF!,adProjCdCanton)</f>
        <v>0</v>
      </c>
      <c r="AC140" s="60">
        <f>SUMIFS(#REF!,#REF!,adProjChocS2,#REF!,adProjScenario,#REF!,adProjIteration,#REF!,adProjCdCanton)</f>
        <v>0</v>
      </c>
      <c r="AD140" s="60">
        <f>SUMIFS(#REF!,#REF!,adProjChocS2,#REF!,adProjScenario,#REF!,adProjIteration,#REF!,adProjCdCanton)</f>
        <v>0</v>
      </c>
      <c r="AE140" s="60">
        <f>SUMIFS(#REF!,#REF!,adProjChocS2,#REF!,adProjScenario,#REF!,adProjIteration,#REF!,adProjCdCanton)</f>
        <v>0</v>
      </c>
      <c r="AF140" s="60">
        <f>SUMIFS(#REF!,#REF!,adProjChocS2,#REF!,adProjScenario,#REF!,adProjIteration,#REF!,adProjCdCanton)</f>
        <v>0</v>
      </c>
      <c r="AG140" s="60">
        <f>SUMIFS(#REF!,#REF!,adProjChocS2,#REF!,adProjScenario,#REF!,adProjIteration,#REF!,adProjCdCanton)</f>
        <v>0</v>
      </c>
      <c r="AH140" s="60">
        <f>SUMIFS(#REF!,#REF!,adProjChocS2,#REF!,adProjScenario,#REF!,adProjIteration,#REF!,adProjCdCanton)</f>
        <v>0</v>
      </c>
      <c r="AI140" s="60">
        <f>SUMIFS(#REF!,#REF!,adProjChocS2,#REF!,adProjScenario,#REF!,adProjIteration,#REF!,adProjCdCanton)</f>
        <v>0</v>
      </c>
      <c r="AJ140" s="60">
        <f>SUMIFS(#REF!,#REF!,adProjChocS2,#REF!,adProjScenario,#REF!,adProjIteration,#REF!,adProjCdCanton)</f>
        <v>0</v>
      </c>
      <c r="AK140" s="60">
        <f>SUMIFS(#REF!,#REF!,adProjChocS2,#REF!,adProjScenario,#REF!,adProjIteration,#REF!,adProjCdCanton)</f>
        <v>0</v>
      </c>
      <c r="AL140" s="60">
        <f>SUMIFS(#REF!,#REF!,adProjChocS2,#REF!,adProjScenario,#REF!,adProjIteration,#REF!,adProjCdCanton)</f>
        <v>0</v>
      </c>
      <c r="AM140" s="60">
        <f>SUMIFS(#REF!,#REF!,adProjChocS2,#REF!,adProjScenario,#REF!,adProjIteration,#REF!,adProjCdCanton)</f>
        <v>0</v>
      </c>
      <c r="AN140" s="60">
        <f>SUMIFS(#REF!,#REF!,adProjChocS2,#REF!,adProjScenario,#REF!,adProjIteration,#REF!,adProjCdCanton)</f>
        <v>0</v>
      </c>
      <c r="AO140" s="60">
        <f>SUMIFS(#REF!,#REF!,adProjChocS2,#REF!,adProjScenario,#REF!,adProjIteration,#REF!,adProjCdCanton)</f>
        <v>0</v>
      </c>
      <c r="AP140" s="60">
        <f>SUMIFS(#REF!,#REF!,adProjChocS2,#REF!,adProjScenario,#REF!,adProjIteration,#REF!,adProjCdCanton)</f>
        <v>0</v>
      </c>
      <c r="AQ140" s="60">
        <f>SUMIFS(#REF!,#REF!,adProjChocS2,#REF!,adProjScenario,#REF!,adProjIteration,#REF!,adProjCdCanton)</f>
        <v>0</v>
      </c>
      <c r="AR140" s="60">
        <f>SUMIFS(#REF!,#REF!,adProjChocS2,#REF!,adProjScenario,#REF!,adProjIteration,#REF!,adProjCdCanton)</f>
        <v>0</v>
      </c>
      <c r="AS140" s="60">
        <f>SUMIFS(#REF!,#REF!,adProjChocS2,#REF!,adProjScenario,#REF!,adProjIteration,#REF!,adProjCdCanton)</f>
        <v>0</v>
      </c>
      <c r="AT140" s="60">
        <f>SUMIFS(#REF!,#REF!,adProjChocS2,#REF!,adProjScenario,#REF!,adProjIteration,#REF!,adProjCdCanton)</f>
        <v>0</v>
      </c>
      <c r="AU140" s="60">
        <f>SUMIFS(#REF!,#REF!,adProjChocS2,#REF!,adProjScenario,#REF!,adProjIteration,#REF!,adProjCdCanton)</f>
        <v>0</v>
      </c>
      <c r="AV140" s="60">
        <f>SUMIFS(#REF!,#REF!,adProjChocS2,#REF!,adProjScenario,#REF!,adProjIteration,#REF!,adProjCdCanton)</f>
        <v>0</v>
      </c>
      <c r="AW140" s="60">
        <f>SUMIFS(#REF!,#REF!,adProjChocS2,#REF!,adProjScenario,#REF!,adProjIteration,#REF!,adProjCdCanton)</f>
        <v>0</v>
      </c>
      <c r="AX140" s="60">
        <f>SUMIFS(#REF!,#REF!,adProjChocS2,#REF!,adProjScenario,#REF!,adProjIteration,#REF!,adProjCdCanton)</f>
        <v>0</v>
      </c>
      <c r="AY140" s="60">
        <f>SUMIFS(#REF!,#REF!,adProjChocS2,#REF!,adProjScenario,#REF!,adProjIteration,#REF!,adProjCdCanton)</f>
        <v>0</v>
      </c>
      <c r="AZ140" s="60">
        <f>SUMIFS(#REF!,#REF!,adProjChocS2,#REF!,adProjScenario,#REF!,adProjIteration,#REF!,adProjCdCanton)</f>
        <v>0</v>
      </c>
      <c r="BA140" s="60">
        <f>SUMIFS(#REF!,#REF!,adProjChocS2,#REF!,adProjScenario,#REF!,adProjIteration,#REF!,adProjCdCanton)</f>
        <v>0</v>
      </c>
      <c r="BB140" s="60">
        <f>SUMIFS(#REF!,#REF!,adProjChocS2,#REF!,adProjScenario,#REF!,adProjIteration,#REF!,adProjCdCanton)</f>
        <v>0</v>
      </c>
    </row>
    <row r="141" spans="1:54" ht="16.5" x14ac:dyDescent="0.3">
      <c r="A141" s="16"/>
      <c r="B141" s="56"/>
      <c r="C141" s="59" t="s">
        <v>116</v>
      </c>
      <c r="D141" s="60">
        <f>SUMIFS(#REF!,#REF!,adProjChocS2,#REF!,adProjScenario,#REF!,adProjIteration,#REF!,adProjCdCanton)</f>
        <v>0</v>
      </c>
      <c r="E141" s="60">
        <f>SUMIFS(#REF!,#REF!,adProjChocS2,#REF!,adProjScenario,#REF!,adProjIteration,#REF!,adProjCdCanton)</f>
        <v>0</v>
      </c>
      <c r="F141" s="60">
        <f>SUMIFS(#REF!,#REF!,adProjChocS2,#REF!,adProjScenario,#REF!,adProjIteration,#REF!,adProjCdCanton)</f>
        <v>0</v>
      </c>
      <c r="G141" s="60">
        <f>SUMIFS(#REF!,#REF!,adProjChocS2,#REF!,adProjScenario,#REF!,adProjIteration,#REF!,adProjCdCanton)</f>
        <v>0</v>
      </c>
      <c r="H141" s="60">
        <f>SUMIFS(#REF!,#REF!,adProjChocS2,#REF!,adProjScenario,#REF!,adProjIteration,#REF!,adProjCdCanton)</f>
        <v>0</v>
      </c>
      <c r="I141" s="60">
        <f>SUMIFS(#REF!,#REF!,adProjChocS2,#REF!,adProjScenario,#REF!,adProjIteration,#REF!,adProjCdCanton)</f>
        <v>0</v>
      </c>
      <c r="J141" s="60">
        <f>SUMIFS(#REF!,#REF!,adProjChocS2,#REF!,adProjScenario,#REF!,adProjIteration,#REF!,adProjCdCanton)</f>
        <v>0</v>
      </c>
      <c r="K141" s="60">
        <f>SUMIFS(#REF!,#REF!,adProjChocS2,#REF!,adProjScenario,#REF!,adProjIteration,#REF!,adProjCdCanton)</f>
        <v>0</v>
      </c>
      <c r="L141" s="60">
        <f>SUMIFS(#REF!,#REF!,adProjChocS2,#REF!,adProjScenario,#REF!,adProjIteration,#REF!,adProjCdCanton)</f>
        <v>0</v>
      </c>
      <c r="M141" s="60">
        <f>SUMIFS(#REF!,#REF!,adProjChocS2,#REF!,adProjScenario,#REF!,adProjIteration,#REF!,adProjCdCanton)</f>
        <v>0</v>
      </c>
      <c r="N141" s="60">
        <f>SUMIFS(#REF!,#REF!,adProjChocS2,#REF!,adProjScenario,#REF!,adProjIteration,#REF!,adProjCdCanton)</f>
        <v>0</v>
      </c>
      <c r="O141" s="60">
        <f>SUMIFS(#REF!,#REF!,adProjChocS2,#REF!,adProjScenario,#REF!,adProjIteration,#REF!,adProjCdCanton)</f>
        <v>0</v>
      </c>
      <c r="P141" s="60">
        <f>SUMIFS(#REF!,#REF!,adProjChocS2,#REF!,adProjScenario,#REF!,adProjIteration,#REF!,adProjCdCanton)</f>
        <v>0</v>
      </c>
      <c r="Q141" s="60">
        <f>SUMIFS(#REF!,#REF!,adProjChocS2,#REF!,adProjScenario,#REF!,adProjIteration,#REF!,adProjCdCanton)</f>
        <v>0</v>
      </c>
      <c r="R141" s="60">
        <f>SUMIFS(#REF!,#REF!,adProjChocS2,#REF!,adProjScenario,#REF!,adProjIteration,#REF!,adProjCdCanton)</f>
        <v>0</v>
      </c>
      <c r="S141" s="60">
        <f>SUMIFS(#REF!,#REF!,adProjChocS2,#REF!,adProjScenario,#REF!,adProjIteration,#REF!,adProjCdCanton)</f>
        <v>0</v>
      </c>
      <c r="T141" s="60">
        <f>SUMIFS(#REF!,#REF!,adProjChocS2,#REF!,adProjScenario,#REF!,adProjIteration,#REF!,adProjCdCanton)</f>
        <v>0</v>
      </c>
      <c r="U141" s="60">
        <f>SUMIFS(#REF!,#REF!,adProjChocS2,#REF!,adProjScenario,#REF!,adProjIteration,#REF!,adProjCdCanton)</f>
        <v>0</v>
      </c>
      <c r="V141" s="60">
        <f>SUMIFS(#REF!,#REF!,adProjChocS2,#REF!,adProjScenario,#REF!,adProjIteration,#REF!,adProjCdCanton)</f>
        <v>0</v>
      </c>
      <c r="W141" s="60">
        <f>SUMIFS(#REF!,#REF!,adProjChocS2,#REF!,adProjScenario,#REF!,adProjIteration,#REF!,adProjCdCanton)</f>
        <v>0</v>
      </c>
      <c r="X141" s="60">
        <f>SUMIFS(#REF!,#REF!,adProjChocS2,#REF!,adProjScenario,#REF!,adProjIteration,#REF!,adProjCdCanton)</f>
        <v>0</v>
      </c>
      <c r="Y141" s="60">
        <f>SUMIFS(#REF!,#REF!,adProjChocS2,#REF!,adProjScenario,#REF!,adProjIteration,#REF!,adProjCdCanton)</f>
        <v>0</v>
      </c>
      <c r="Z141" s="60">
        <f>SUMIFS(#REF!,#REF!,adProjChocS2,#REF!,adProjScenario,#REF!,adProjIteration,#REF!,adProjCdCanton)</f>
        <v>0</v>
      </c>
      <c r="AA141" s="60">
        <f>SUMIFS(#REF!,#REF!,adProjChocS2,#REF!,adProjScenario,#REF!,adProjIteration,#REF!,adProjCdCanton)</f>
        <v>0</v>
      </c>
      <c r="AB141" s="60">
        <f>SUMIFS(#REF!,#REF!,adProjChocS2,#REF!,adProjScenario,#REF!,adProjIteration,#REF!,adProjCdCanton)</f>
        <v>0</v>
      </c>
      <c r="AC141" s="60">
        <f>SUMIFS(#REF!,#REF!,adProjChocS2,#REF!,adProjScenario,#REF!,adProjIteration,#REF!,adProjCdCanton)</f>
        <v>0</v>
      </c>
      <c r="AD141" s="60">
        <f>SUMIFS(#REF!,#REF!,adProjChocS2,#REF!,adProjScenario,#REF!,adProjIteration,#REF!,adProjCdCanton)</f>
        <v>0</v>
      </c>
      <c r="AE141" s="60">
        <f>SUMIFS(#REF!,#REF!,adProjChocS2,#REF!,adProjScenario,#REF!,adProjIteration,#REF!,adProjCdCanton)</f>
        <v>0</v>
      </c>
      <c r="AF141" s="60">
        <f>SUMIFS(#REF!,#REF!,adProjChocS2,#REF!,adProjScenario,#REF!,adProjIteration,#REF!,adProjCdCanton)</f>
        <v>0</v>
      </c>
      <c r="AG141" s="60">
        <f>SUMIFS(#REF!,#REF!,adProjChocS2,#REF!,adProjScenario,#REF!,adProjIteration,#REF!,adProjCdCanton)</f>
        <v>0</v>
      </c>
      <c r="AH141" s="60">
        <f>SUMIFS(#REF!,#REF!,adProjChocS2,#REF!,adProjScenario,#REF!,adProjIteration,#REF!,adProjCdCanton)</f>
        <v>0</v>
      </c>
      <c r="AI141" s="60">
        <f>SUMIFS(#REF!,#REF!,adProjChocS2,#REF!,adProjScenario,#REF!,adProjIteration,#REF!,adProjCdCanton)</f>
        <v>0</v>
      </c>
      <c r="AJ141" s="60">
        <f>SUMIFS(#REF!,#REF!,adProjChocS2,#REF!,adProjScenario,#REF!,adProjIteration,#REF!,adProjCdCanton)</f>
        <v>0</v>
      </c>
      <c r="AK141" s="60">
        <f>SUMIFS(#REF!,#REF!,adProjChocS2,#REF!,adProjScenario,#REF!,adProjIteration,#REF!,adProjCdCanton)</f>
        <v>0</v>
      </c>
      <c r="AL141" s="60">
        <f>SUMIFS(#REF!,#REF!,adProjChocS2,#REF!,adProjScenario,#REF!,adProjIteration,#REF!,adProjCdCanton)</f>
        <v>0</v>
      </c>
      <c r="AM141" s="60">
        <f>SUMIFS(#REF!,#REF!,adProjChocS2,#REF!,adProjScenario,#REF!,adProjIteration,#REF!,adProjCdCanton)</f>
        <v>0</v>
      </c>
      <c r="AN141" s="60">
        <f>SUMIFS(#REF!,#REF!,adProjChocS2,#REF!,adProjScenario,#REF!,adProjIteration,#REF!,adProjCdCanton)</f>
        <v>0</v>
      </c>
      <c r="AO141" s="60">
        <f>SUMIFS(#REF!,#REF!,adProjChocS2,#REF!,adProjScenario,#REF!,adProjIteration,#REF!,adProjCdCanton)</f>
        <v>0</v>
      </c>
      <c r="AP141" s="60">
        <f>SUMIFS(#REF!,#REF!,adProjChocS2,#REF!,adProjScenario,#REF!,adProjIteration,#REF!,adProjCdCanton)</f>
        <v>0</v>
      </c>
      <c r="AQ141" s="60">
        <f>SUMIFS(#REF!,#REF!,adProjChocS2,#REF!,adProjScenario,#REF!,adProjIteration,#REF!,adProjCdCanton)</f>
        <v>0</v>
      </c>
      <c r="AR141" s="60">
        <f>SUMIFS(#REF!,#REF!,adProjChocS2,#REF!,adProjScenario,#REF!,adProjIteration,#REF!,adProjCdCanton)</f>
        <v>0</v>
      </c>
      <c r="AS141" s="60">
        <f>SUMIFS(#REF!,#REF!,adProjChocS2,#REF!,adProjScenario,#REF!,adProjIteration,#REF!,adProjCdCanton)</f>
        <v>0</v>
      </c>
      <c r="AT141" s="60">
        <f>SUMIFS(#REF!,#REF!,adProjChocS2,#REF!,adProjScenario,#REF!,adProjIteration,#REF!,adProjCdCanton)</f>
        <v>0</v>
      </c>
      <c r="AU141" s="60">
        <f>SUMIFS(#REF!,#REF!,adProjChocS2,#REF!,adProjScenario,#REF!,adProjIteration,#REF!,adProjCdCanton)</f>
        <v>0</v>
      </c>
      <c r="AV141" s="60">
        <f>SUMIFS(#REF!,#REF!,adProjChocS2,#REF!,adProjScenario,#REF!,adProjIteration,#REF!,adProjCdCanton)</f>
        <v>0</v>
      </c>
      <c r="AW141" s="60">
        <f>SUMIFS(#REF!,#REF!,adProjChocS2,#REF!,adProjScenario,#REF!,adProjIteration,#REF!,adProjCdCanton)</f>
        <v>0</v>
      </c>
      <c r="AX141" s="60">
        <f>SUMIFS(#REF!,#REF!,adProjChocS2,#REF!,adProjScenario,#REF!,adProjIteration,#REF!,adProjCdCanton)</f>
        <v>0</v>
      </c>
      <c r="AY141" s="60">
        <f>SUMIFS(#REF!,#REF!,adProjChocS2,#REF!,adProjScenario,#REF!,adProjIteration,#REF!,adProjCdCanton)</f>
        <v>0</v>
      </c>
      <c r="AZ141" s="60">
        <f>SUMIFS(#REF!,#REF!,adProjChocS2,#REF!,adProjScenario,#REF!,adProjIteration,#REF!,adProjCdCanton)</f>
        <v>0</v>
      </c>
      <c r="BA141" s="60">
        <f>SUMIFS(#REF!,#REF!,adProjChocS2,#REF!,adProjScenario,#REF!,adProjIteration,#REF!,adProjCdCanton)</f>
        <v>0</v>
      </c>
      <c r="BB141" s="60">
        <f>SUMIFS(#REF!,#REF!,adProjChocS2,#REF!,adProjScenario,#REF!,adProjIteration,#REF!,adProjCdCanton)</f>
        <v>0</v>
      </c>
    </row>
    <row r="142" spans="1:54" ht="16.5" x14ac:dyDescent="0.3">
      <c r="A142" s="16"/>
      <c r="B142" s="56"/>
      <c r="C142" s="59" t="s">
        <v>117</v>
      </c>
      <c r="D142" s="60">
        <f>SUMIFS(#REF!,#REF!,adProjChocS2,#REF!,adProjScenario,#REF!,adProjIteration,#REF!,adProjCdCanton)</f>
        <v>0</v>
      </c>
      <c r="E142" s="60">
        <f>SUMIFS(#REF!,#REF!,adProjChocS2,#REF!,adProjScenario,#REF!,adProjIteration,#REF!,adProjCdCanton)</f>
        <v>0</v>
      </c>
      <c r="F142" s="60">
        <f>SUMIFS(#REF!,#REF!,adProjChocS2,#REF!,adProjScenario,#REF!,adProjIteration,#REF!,adProjCdCanton)</f>
        <v>0</v>
      </c>
      <c r="G142" s="60">
        <f>SUMIFS(#REF!,#REF!,adProjChocS2,#REF!,adProjScenario,#REF!,adProjIteration,#REF!,adProjCdCanton)</f>
        <v>0</v>
      </c>
      <c r="H142" s="60">
        <f>SUMIFS(#REF!,#REF!,adProjChocS2,#REF!,adProjScenario,#REF!,adProjIteration,#REF!,adProjCdCanton)</f>
        <v>0</v>
      </c>
      <c r="I142" s="60">
        <f>SUMIFS(#REF!,#REF!,adProjChocS2,#REF!,adProjScenario,#REF!,adProjIteration,#REF!,adProjCdCanton)</f>
        <v>0</v>
      </c>
      <c r="J142" s="60">
        <f>SUMIFS(#REF!,#REF!,adProjChocS2,#REF!,adProjScenario,#REF!,adProjIteration,#REF!,adProjCdCanton)</f>
        <v>0</v>
      </c>
      <c r="K142" s="60">
        <f>SUMIFS(#REF!,#REF!,adProjChocS2,#REF!,adProjScenario,#REF!,adProjIteration,#REF!,adProjCdCanton)</f>
        <v>0</v>
      </c>
      <c r="L142" s="60">
        <f>SUMIFS(#REF!,#REF!,adProjChocS2,#REF!,adProjScenario,#REF!,adProjIteration,#REF!,adProjCdCanton)</f>
        <v>0</v>
      </c>
      <c r="M142" s="60">
        <f>SUMIFS(#REF!,#REF!,adProjChocS2,#REF!,adProjScenario,#REF!,adProjIteration,#REF!,adProjCdCanton)</f>
        <v>0</v>
      </c>
      <c r="N142" s="60">
        <f>SUMIFS(#REF!,#REF!,adProjChocS2,#REF!,adProjScenario,#REF!,adProjIteration,#REF!,adProjCdCanton)</f>
        <v>0</v>
      </c>
      <c r="O142" s="60">
        <f>SUMIFS(#REF!,#REF!,adProjChocS2,#REF!,adProjScenario,#REF!,adProjIteration,#REF!,adProjCdCanton)</f>
        <v>0</v>
      </c>
      <c r="P142" s="60">
        <f>SUMIFS(#REF!,#REF!,adProjChocS2,#REF!,adProjScenario,#REF!,adProjIteration,#REF!,adProjCdCanton)</f>
        <v>0</v>
      </c>
      <c r="Q142" s="60">
        <f>SUMIFS(#REF!,#REF!,adProjChocS2,#REF!,adProjScenario,#REF!,adProjIteration,#REF!,adProjCdCanton)</f>
        <v>0</v>
      </c>
      <c r="R142" s="60">
        <f>SUMIFS(#REF!,#REF!,adProjChocS2,#REF!,adProjScenario,#REF!,adProjIteration,#REF!,adProjCdCanton)</f>
        <v>0</v>
      </c>
      <c r="S142" s="60">
        <f>SUMIFS(#REF!,#REF!,adProjChocS2,#REF!,adProjScenario,#REF!,adProjIteration,#REF!,adProjCdCanton)</f>
        <v>0</v>
      </c>
      <c r="T142" s="60">
        <f>SUMIFS(#REF!,#REF!,adProjChocS2,#REF!,adProjScenario,#REF!,adProjIteration,#REF!,adProjCdCanton)</f>
        <v>0</v>
      </c>
      <c r="U142" s="60">
        <f>SUMIFS(#REF!,#REF!,adProjChocS2,#REF!,adProjScenario,#REF!,adProjIteration,#REF!,adProjCdCanton)</f>
        <v>0</v>
      </c>
      <c r="V142" s="60">
        <f>SUMIFS(#REF!,#REF!,adProjChocS2,#REF!,adProjScenario,#REF!,adProjIteration,#REF!,adProjCdCanton)</f>
        <v>0</v>
      </c>
      <c r="W142" s="60">
        <f>SUMIFS(#REF!,#REF!,adProjChocS2,#REF!,adProjScenario,#REF!,adProjIteration,#REF!,adProjCdCanton)</f>
        <v>0</v>
      </c>
      <c r="X142" s="60">
        <f>SUMIFS(#REF!,#REF!,adProjChocS2,#REF!,adProjScenario,#REF!,adProjIteration,#REF!,adProjCdCanton)</f>
        <v>0</v>
      </c>
      <c r="Y142" s="60">
        <f>SUMIFS(#REF!,#REF!,adProjChocS2,#REF!,adProjScenario,#REF!,adProjIteration,#REF!,adProjCdCanton)</f>
        <v>0</v>
      </c>
      <c r="Z142" s="60">
        <f>SUMIFS(#REF!,#REF!,adProjChocS2,#REF!,adProjScenario,#REF!,adProjIteration,#REF!,adProjCdCanton)</f>
        <v>0</v>
      </c>
      <c r="AA142" s="60">
        <f>SUMIFS(#REF!,#REF!,adProjChocS2,#REF!,adProjScenario,#REF!,adProjIteration,#REF!,adProjCdCanton)</f>
        <v>0</v>
      </c>
      <c r="AB142" s="60">
        <f>SUMIFS(#REF!,#REF!,adProjChocS2,#REF!,adProjScenario,#REF!,adProjIteration,#REF!,adProjCdCanton)</f>
        <v>0</v>
      </c>
      <c r="AC142" s="60">
        <f>SUMIFS(#REF!,#REF!,adProjChocS2,#REF!,adProjScenario,#REF!,adProjIteration,#REF!,adProjCdCanton)</f>
        <v>0</v>
      </c>
      <c r="AD142" s="60">
        <f>SUMIFS(#REF!,#REF!,adProjChocS2,#REF!,adProjScenario,#REF!,adProjIteration,#REF!,adProjCdCanton)</f>
        <v>0</v>
      </c>
      <c r="AE142" s="60">
        <f>SUMIFS(#REF!,#REF!,adProjChocS2,#REF!,adProjScenario,#REF!,adProjIteration,#REF!,adProjCdCanton)</f>
        <v>0</v>
      </c>
      <c r="AF142" s="60">
        <f>SUMIFS(#REF!,#REF!,adProjChocS2,#REF!,adProjScenario,#REF!,adProjIteration,#REF!,adProjCdCanton)</f>
        <v>0</v>
      </c>
      <c r="AG142" s="60">
        <f>SUMIFS(#REF!,#REF!,adProjChocS2,#REF!,adProjScenario,#REF!,adProjIteration,#REF!,adProjCdCanton)</f>
        <v>0</v>
      </c>
      <c r="AH142" s="60">
        <f>SUMIFS(#REF!,#REF!,adProjChocS2,#REF!,adProjScenario,#REF!,adProjIteration,#REF!,adProjCdCanton)</f>
        <v>0</v>
      </c>
      <c r="AI142" s="60">
        <f>SUMIFS(#REF!,#REF!,adProjChocS2,#REF!,adProjScenario,#REF!,adProjIteration,#REF!,adProjCdCanton)</f>
        <v>0</v>
      </c>
      <c r="AJ142" s="60">
        <f>SUMIFS(#REF!,#REF!,adProjChocS2,#REF!,adProjScenario,#REF!,adProjIteration,#REF!,adProjCdCanton)</f>
        <v>0</v>
      </c>
      <c r="AK142" s="60">
        <f>SUMIFS(#REF!,#REF!,adProjChocS2,#REF!,adProjScenario,#REF!,adProjIteration,#REF!,adProjCdCanton)</f>
        <v>0</v>
      </c>
      <c r="AL142" s="60">
        <f>SUMIFS(#REF!,#REF!,adProjChocS2,#REF!,adProjScenario,#REF!,adProjIteration,#REF!,adProjCdCanton)</f>
        <v>0</v>
      </c>
      <c r="AM142" s="60">
        <f>SUMIFS(#REF!,#REF!,adProjChocS2,#REF!,adProjScenario,#REF!,adProjIteration,#REF!,adProjCdCanton)</f>
        <v>0</v>
      </c>
      <c r="AN142" s="60">
        <f>SUMIFS(#REF!,#REF!,adProjChocS2,#REF!,adProjScenario,#REF!,adProjIteration,#REF!,adProjCdCanton)</f>
        <v>0</v>
      </c>
      <c r="AO142" s="60">
        <f>SUMIFS(#REF!,#REF!,adProjChocS2,#REF!,adProjScenario,#REF!,adProjIteration,#REF!,adProjCdCanton)</f>
        <v>0</v>
      </c>
      <c r="AP142" s="60">
        <f>SUMIFS(#REF!,#REF!,adProjChocS2,#REF!,adProjScenario,#REF!,adProjIteration,#REF!,adProjCdCanton)</f>
        <v>0</v>
      </c>
      <c r="AQ142" s="60">
        <f>SUMIFS(#REF!,#REF!,adProjChocS2,#REF!,adProjScenario,#REF!,adProjIteration,#REF!,adProjCdCanton)</f>
        <v>0</v>
      </c>
      <c r="AR142" s="60">
        <f>SUMIFS(#REF!,#REF!,adProjChocS2,#REF!,adProjScenario,#REF!,adProjIteration,#REF!,adProjCdCanton)</f>
        <v>0</v>
      </c>
      <c r="AS142" s="60">
        <f>SUMIFS(#REF!,#REF!,adProjChocS2,#REF!,adProjScenario,#REF!,adProjIteration,#REF!,adProjCdCanton)</f>
        <v>0</v>
      </c>
      <c r="AT142" s="60">
        <f>SUMIFS(#REF!,#REF!,adProjChocS2,#REF!,adProjScenario,#REF!,adProjIteration,#REF!,adProjCdCanton)</f>
        <v>0</v>
      </c>
      <c r="AU142" s="60">
        <f>SUMIFS(#REF!,#REF!,adProjChocS2,#REF!,adProjScenario,#REF!,adProjIteration,#REF!,adProjCdCanton)</f>
        <v>0</v>
      </c>
      <c r="AV142" s="60">
        <f>SUMIFS(#REF!,#REF!,adProjChocS2,#REF!,adProjScenario,#REF!,adProjIteration,#REF!,adProjCdCanton)</f>
        <v>0</v>
      </c>
      <c r="AW142" s="60">
        <f>SUMIFS(#REF!,#REF!,adProjChocS2,#REF!,adProjScenario,#REF!,adProjIteration,#REF!,adProjCdCanton)</f>
        <v>0</v>
      </c>
      <c r="AX142" s="60">
        <f>SUMIFS(#REF!,#REF!,adProjChocS2,#REF!,adProjScenario,#REF!,adProjIteration,#REF!,adProjCdCanton)</f>
        <v>0</v>
      </c>
      <c r="AY142" s="60">
        <f>SUMIFS(#REF!,#REF!,adProjChocS2,#REF!,adProjScenario,#REF!,adProjIteration,#REF!,adProjCdCanton)</f>
        <v>0</v>
      </c>
      <c r="AZ142" s="60">
        <f>SUMIFS(#REF!,#REF!,adProjChocS2,#REF!,adProjScenario,#REF!,adProjIteration,#REF!,adProjCdCanton)</f>
        <v>0</v>
      </c>
      <c r="BA142" s="60">
        <f>SUMIFS(#REF!,#REF!,adProjChocS2,#REF!,adProjScenario,#REF!,adProjIteration,#REF!,adProjCdCanton)</f>
        <v>0</v>
      </c>
      <c r="BB142" s="60">
        <f>SUMIFS(#REF!,#REF!,adProjChocS2,#REF!,adProjScenario,#REF!,adProjIteration,#REF!,adProjCdCanton)</f>
        <v>0</v>
      </c>
    </row>
    <row r="143" spans="1:54" ht="16.5" x14ac:dyDescent="0.3">
      <c r="A143" s="16"/>
      <c r="B143" s="56"/>
      <c r="C143" s="61" t="s">
        <v>118</v>
      </c>
      <c r="D143" s="60">
        <f t="shared" ref="D143:AI143" si="45">adPmDebut-adPrstTotNet-adPrstTotChgt-adPmPerf-adFgseEu-adChgtVcMoy</f>
        <v>0</v>
      </c>
      <c r="E143" s="60">
        <f t="shared" si="45"/>
        <v>0</v>
      </c>
      <c r="F143" s="60">
        <f t="shared" si="45"/>
        <v>0</v>
      </c>
      <c r="G143" s="60">
        <f t="shared" si="45"/>
        <v>0</v>
      </c>
      <c r="H143" s="60">
        <f t="shared" si="45"/>
        <v>0</v>
      </c>
      <c r="I143" s="60">
        <f t="shared" si="45"/>
        <v>0</v>
      </c>
      <c r="J143" s="60">
        <f t="shared" si="45"/>
        <v>0</v>
      </c>
      <c r="K143" s="60">
        <f t="shared" si="45"/>
        <v>0</v>
      </c>
      <c r="L143" s="60">
        <f t="shared" si="45"/>
        <v>0</v>
      </c>
      <c r="M143" s="60">
        <f t="shared" si="45"/>
        <v>0</v>
      </c>
      <c r="N143" s="60">
        <f t="shared" si="45"/>
        <v>0</v>
      </c>
      <c r="O143" s="60">
        <f t="shared" si="45"/>
        <v>0</v>
      </c>
      <c r="P143" s="60">
        <f t="shared" si="45"/>
        <v>0</v>
      </c>
      <c r="Q143" s="60">
        <f t="shared" si="45"/>
        <v>0</v>
      </c>
      <c r="R143" s="60">
        <f t="shared" si="45"/>
        <v>0</v>
      </c>
      <c r="S143" s="60">
        <f t="shared" si="45"/>
        <v>0</v>
      </c>
      <c r="T143" s="60">
        <f t="shared" si="45"/>
        <v>0</v>
      </c>
      <c r="U143" s="60">
        <f t="shared" si="45"/>
        <v>0</v>
      </c>
      <c r="V143" s="60">
        <f t="shared" si="45"/>
        <v>0</v>
      </c>
      <c r="W143" s="60">
        <f t="shared" si="45"/>
        <v>0</v>
      </c>
      <c r="X143" s="60">
        <f t="shared" si="45"/>
        <v>0</v>
      </c>
      <c r="Y143" s="60">
        <f t="shared" si="45"/>
        <v>0</v>
      </c>
      <c r="Z143" s="60">
        <f t="shared" si="45"/>
        <v>0</v>
      </c>
      <c r="AA143" s="60">
        <f t="shared" si="45"/>
        <v>0</v>
      </c>
      <c r="AB143" s="60">
        <f t="shared" si="45"/>
        <v>0</v>
      </c>
      <c r="AC143" s="60">
        <f t="shared" si="45"/>
        <v>0</v>
      </c>
      <c r="AD143" s="60">
        <f t="shared" si="45"/>
        <v>0</v>
      </c>
      <c r="AE143" s="60">
        <f t="shared" si="45"/>
        <v>0</v>
      </c>
      <c r="AF143" s="60">
        <f t="shared" si="45"/>
        <v>0</v>
      </c>
      <c r="AG143" s="60">
        <f t="shared" si="45"/>
        <v>0</v>
      </c>
      <c r="AH143" s="60">
        <f t="shared" si="45"/>
        <v>0</v>
      </c>
      <c r="AI143" s="60">
        <f t="shared" si="45"/>
        <v>0</v>
      </c>
      <c r="AJ143" s="60">
        <f t="shared" ref="AJ143:BB143" si="46">adPmDebut-adPrstTotNet-adPrstTotChgt-adPmPerf-adFgseEu-adChgtVcMoy</f>
        <v>0</v>
      </c>
      <c r="AK143" s="60">
        <f t="shared" si="46"/>
        <v>0</v>
      </c>
      <c r="AL143" s="60">
        <f t="shared" si="46"/>
        <v>0</v>
      </c>
      <c r="AM143" s="60">
        <f t="shared" si="46"/>
        <v>0</v>
      </c>
      <c r="AN143" s="60">
        <f t="shared" si="46"/>
        <v>0</v>
      </c>
      <c r="AO143" s="60">
        <f t="shared" si="46"/>
        <v>0</v>
      </c>
      <c r="AP143" s="60">
        <f t="shared" si="46"/>
        <v>0</v>
      </c>
      <c r="AQ143" s="60">
        <f t="shared" si="46"/>
        <v>0</v>
      </c>
      <c r="AR143" s="60">
        <f t="shared" si="46"/>
        <v>0</v>
      </c>
      <c r="AS143" s="60">
        <f t="shared" si="46"/>
        <v>0</v>
      </c>
      <c r="AT143" s="60">
        <f t="shared" si="46"/>
        <v>0</v>
      </c>
      <c r="AU143" s="60">
        <f t="shared" si="46"/>
        <v>0</v>
      </c>
      <c r="AV143" s="60">
        <f t="shared" si="46"/>
        <v>0</v>
      </c>
      <c r="AW143" s="60">
        <f t="shared" si="46"/>
        <v>0</v>
      </c>
      <c r="AX143" s="60">
        <f t="shared" si="46"/>
        <v>0</v>
      </c>
      <c r="AY143" s="60">
        <f t="shared" si="46"/>
        <v>0</v>
      </c>
      <c r="AZ143" s="60">
        <f t="shared" si="46"/>
        <v>0</v>
      </c>
      <c r="BA143" s="60">
        <f t="shared" si="46"/>
        <v>0</v>
      </c>
      <c r="BB143" s="60">
        <f t="shared" si="46"/>
        <v>0</v>
      </c>
    </row>
    <row r="144" spans="1:54" ht="16.5" x14ac:dyDescent="0.3">
      <c r="A144" s="16"/>
      <c r="B144" s="56"/>
      <c r="C144" s="61" t="s">
        <v>119</v>
      </c>
      <c r="D144" s="20" t="b">
        <f>AND(E144:BB144)</f>
        <v>1</v>
      </c>
      <c r="E144" s="46" t="b">
        <f>ABS(E142-E143)&lt;1</f>
        <v>1</v>
      </c>
      <c r="F144" s="46" t="b">
        <f t="shared" ref="F144:BB144" si="47">ABS(F142-F143)&lt;1</f>
        <v>1</v>
      </c>
      <c r="G144" s="46" t="b">
        <f t="shared" si="47"/>
        <v>1</v>
      </c>
      <c r="H144" s="46" t="b">
        <f t="shared" si="47"/>
        <v>1</v>
      </c>
      <c r="I144" s="46" t="b">
        <f t="shared" si="47"/>
        <v>1</v>
      </c>
      <c r="J144" s="46" t="b">
        <f t="shared" si="47"/>
        <v>1</v>
      </c>
      <c r="K144" s="46" t="b">
        <f t="shared" si="47"/>
        <v>1</v>
      </c>
      <c r="L144" s="46" t="b">
        <f t="shared" si="47"/>
        <v>1</v>
      </c>
      <c r="M144" s="46" t="b">
        <f t="shared" si="47"/>
        <v>1</v>
      </c>
      <c r="N144" s="46" t="b">
        <f t="shared" si="47"/>
        <v>1</v>
      </c>
      <c r="O144" s="46" t="b">
        <f t="shared" si="47"/>
        <v>1</v>
      </c>
      <c r="P144" s="46" t="b">
        <f t="shared" si="47"/>
        <v>1</v>
      </c>
      <c r="Q144" s="46" t="b">
        <f t="shared" si="47"/>
        <v>1</v>
      </c>
      <c r="R144" s="46" t="b">
        <f t="shared" si="47"/>
        <v>1</v>
      </c>
      <c r="S144" s="46" t="b">
        <f t="shared" si="47"/>
        <v>1</v>
      </c>
      <c r="T144" s="46" t="b">
        <f t="shared" si="47"/>
        <v>1</v>
      </c>
      <c r="U144" s="46" t="b">
        <f t="shared" si="47"/>
        <v>1</v>
      </c>
      <c r="V144" s="46" t="b">
        <f t="shared" si="47"/>
        <v>1</v>
      </c>
      <c r="W144" s="46" t="b">
        <f t="shared" si="47"/>
        <v>1</v>
      </c>
      <c r="X144" s="46" t="b">
        <f t="shared" si="47"/>
        <v>1</v>
      </c>
      <c r="Y144" s="46" t="b">
        <f t="shared" si="47"/>
        <v>1</v>
      </c>
      <c r="Z144" s="46" t="b">
        <f t="shared" si="47"/>
        <v>1</v>
      </c>
      <c r="AA144" s="46" t="b">
        <f t="shared" si="47"/>
        <v>1</v>
      </c>
      <c r="AB144" s="46" t="b">
        <f t="shared" si="47"/>
        <v>1</v>
      </c>
      <c r="AC144" s="46" t="b">
        <f t="shared" si="47"/>
        <v>1</v>
      </c>
      <c r="AD144" s="46" t="b">
        <f t="shared" si="47"/>
        <v>1</v>
      </c>
      <c r="AE144" s="46" t="b">
        <f t="shared" si="47"/>
        <v>1</v>
      </c>
      <c r="AF144" s="46" t="b">
        <f t="shared" si="47"/>
        <v>1</v>
      </c>
      <c r="AG144" s="46" t="b">
        <f t="shared" si="47"/>
        <v>1</v>
      </c>
      <c r="AH144" s="46" t="b">
        <f t="shared" si="47"/>
        <v>1</v>
      </c>
      <c r="AI144" s="46" t="b">
        <f t="shared" si="47"/>
        <v>1</v>
      </c>
      <c r="AJ144" s="46" t="b">
        <f t="shared" si="47"/>
        <v>1</v>
      </c>
      <c r="AK144" s="46" t="b">
        <f t="shared" si="47"/>
        <v>1</v>
      </c>
      <c r="AL144" s="46" t="b">
        <f t="shared" si="47"/>
        <v>1</v>
      </c>
      <c r="AM144" s="46" t="b">
        <f t="shared" si="47"/>
        <v>1</v>
      </c>
      <c r="AN144" s="46" t="b">
        <f t="shared" si="47"/>
        <v>1</v>
      </c>
      <c r="AO144" s="46" t="b">
        <f t="shared" si="47"/>
        <v>1</v>
      </c>
      <c r="AP144" s="46" t="b">
        <f t="shared" si="47"/>
        <v>1</v>
      </c>
      <c r="AQ144" s="46" t="b">
        <f t="shared" si="47"/>
        <v>1</v>
      </c>
      <c r="AR144" s="46" t="b">
        <f t="shared" si="47"/>
        <v>1</v>
      </c>
      <c r="AS144" s="46" t="b">
        <f t="shared" si="47"/>
        <v>1</v>
      </c>
      <c r="AT144" s="46" t="b">
        <f t="shared" si="47"/>
        <v>1</v>
      </c>
      <c r="AU144" s="46" t="b">
        <f t="shared" si="47"/>
        <v>1</v>
      </c>
      <c r="AV144" s="46" t="b">
        <f t="shared" si="47"/>
        <v>1</v>
      </c>
      <c r="AW144" s="46" t="b">
        <f t="shared" si="47"/>
        <v>1</v>
      </c>
      <c r="AX144" s="46" t="b">
        <f t="shared" si="47"/>
        <v>1</v>
      </c>
      <c r="AY144" s="46" t="b">
        <f t="shared" si="47"/>
        <v>1</v>
      </c>
      <c r="AZ144" s="46" t="b">
        <f t="shared" si="47"/>
        <v>1</v>
      </c>
      <c r="BA144" s="46" t="b">
        <f t="shared" si="47"/>
        <v>1</v>
      </c>
      <c r="BB144" s="46" t="b">
        <f t="shared" si="47"/>
        <v>1</v>
      </c>
    </row>
    <row r="145" spans="1:54" ht="16.5" x14ac:dyDescent="0.3">
      <c r="A145" s="16"/>
      <c r="B145" s="56"/>
      <c r="C145" s="59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</row>
    <row r="146" spans="1:54" ht="16.5" x14ac:dyDescent="0.3">
      <c r="A146" s="16"/>
      <c r="B146" s="56"/>
      <c r="C146" s="62" t="s">
        <v>120</v>
      </c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</row>
    <row r="147" spans="1:54" ht="16.5" x14ac:dyDescent="0.3">
      <c r="A147" s="1"/>
      <c r="B147" s="56"/>
      <c r="C147" s="59" t="s">
        <v>121</v>
      </c>
      <c r="D147" s="60">
        <f>SUMIFS(PrdAdActif!$O:$O,PrdAdActif!$B:$B,adProjChocS2,PrdAdActif!$C:$C,adProjScenario,PrdAdActif!$F:$F,adProjCdCanton,PrdAdActif!$G:$G,"OBLIGATION",PrdAdActif!$D:$D,adProjIteration)</f>
        <v>0</v>
      </c>
      <c r="E147" s="60">
        <f>SUMIFS(PrdAdActif!$O:$O,PrdAdActif!$B:$B,adProjChocS2,PrdAdActif!$C:$C,adProjScenario,PrdAdActif!$F:$F,adProjCdCanton,PrdAdActif!$G:$G,"OBLIGATION",PrdAdActif!$D:$D,adProjIteration)</f>
        <v>0</v>
      </c>
      <c r="F147" s="60">
        <f>SUMIFS(PrdAdActif!$O:$O,PrdAdActif!$B:$B,adProjChocS2,PrdAdActif!$C:$C,adProjScenario,PrdAdActif!$F:$F,adProjCdCanton,PrdAdActif!$G:$G,"OBLIGATION",PrdAdActif!$D:$D,adProjIteration)</f>
        <v>0</v>
      </c>
      <c r="G147" s="60">
        <f>SUMIFS(PrdAdActif!$O:$O,PrdAdActif!$B:$B,adProjChocS2,PrdAdActif!$C:$C,adProjScenario,PrdAdActif!$F:$F,adProjCdCanton,PrdAdActif!$G:$G,"OBLIGATION",PrdAdActif!$D:$D,adProjIteration)</f>
        <v>0</v>
      </c>
      <c r="H147" s="60">
        <f>SUMIFS(PrdAdActif!$O:$O,PrdAdActif!$B:$B,adProjChocS2,PrdAdActif!$C:$C,adProjScenario,PrdAdActif!$F:$F,adProjCdCanton,PrdAdActif!$G:$G,"OBLIGATION",PrdAdActif!$D:$D,adProjIteration)</f>
        <v>0</v>
      </c>
      <c r="I147" s="60">
        <f>SUMIFS(PrdAdActif!$O:$O,PrdAdActif!$B:$B,adProjChocS2,PrdAdActif!$C:$C,adProjScenario,PrdAdActif!$F:$F,adProjCdCanton,PrdAdActif!$G:$G,"OBLIGATION",PrdAdActif!$D:$D,adProjIteration)</f>
        <v>0</v>
      </c>
      <c r="J147" s="60">
        <f>SUMIFS(PrdAdActif!$O:$O,PrdAdActif!$B:$B,adProjChocS2,PrdAdActif!$C:$C,adProjScenario,PrdAdActif!$F:$F,adProjCdCanton,PrdAdActif!$G:$G,"OBLIGATION",PrdAdActif!$D:$D,adProjIteration)</f>
        <v>0</v>
      </c>
      <c r="K147" s="60">
        <f>SUMIFS(PrdAdActif!$O:$O,PrdAdActif!$B:$B,adProjChocS2,PrdAdActif!$C:$C,adProjScenario,PrdAdActif!$F:$F,adProjCdCanton,PrdAdActif!$G:$G,"OBLIGATION",PrdAdActif!$D:$D,adProjIteration)</f>
        <v>0</v>
      </c>
      <c r="L147" s="60">
        <f>SUMIFS(PrdAdActif!$O:$O,PrdAdActif!$B:$B,adProjChocS2,PrdAdActif!$C:$C,adProjScenario,PrdAdActif!$F:$F,adProjCdCanton,PrdAdActif!$G:$G,"OBLIGATION",PrdAdActif!$D:$D,adProjIteration)</f>
        <v>0</v>
      </c>
      <c r="M147" s="60">
        <f>SUMIFS(PrdAdActif!$O:$O,PrdAdActif!$B:$B,adProjChocS2,PrdAdActif!$C:$C,adProjScenario,PrdAdActif!$F:$F,adProjCdCanton,PrdAdActif!$G:$G,"OBLIGATION",PrdAdActif!$D:$D,adProjIteration)</f>
        <v>0</v>
      </c>
      <c r="N147" s="60">
        <f>SUMIFS(PrdAdActif!$O:$O,PrdAdActif!$B:$B,adProjChocS2,PrdAdActif!$C:$C,adProjScenario,PrdAdActif!$F:$F,adProjCdCanton,PrdAdActif!$G:$G,"OBLIGATION",PrdAdActif!$D:$D,adProjIteration)</f>
        <v>0</v>
      </c>
      <c r="O147" s="60">
        <f>SUMIFS(PrdAdActif!$O:$O,PrdAdActif!$B:$B,adProjChocS2,PrdAdActif!$C:$C,adProjScenario,PrdAdActif!$F:$F,adProjCdCanton,PrdAdActif!$G:$G,"OBLIGATION",PrdAdActif!$D:$D,adProjIteration)</f>
        <v>0</v>
      </c>
      <c r="P147" s="60">
        <f>SUMIFS(PrdAdActif!$O:$O,PrdAdActif!$B:$B,adProjChocS2,PrdAdActif!$C:$C,adProjScenario,PrdAdActif!$F:$F,adProjCdCanton,PrdAdActif!$G:$G,"OBLIGATION",PrdAdActif!$D:$D,adProjIteration)</f>
        <v>0</v>
      </c>
      <c r="Q147" s="60">
        <f>SUMIFS(PrdAdActif!$O:$O,PrdAdActif!$B:$B,adProjChocS2,PrdAdActif!$C:$C,adProjScenario,PrdAdActif!$F:$F,adProjCdCanton,PrdAdActif!$G:$G,"OBLIGATION",PrdAdActif!$D:$D,adProjIteration)</f>
        <v>0</v>
      </c>
      <c r="R147" s="60">
        <f>SUMIFS(PrdAdActif!$O:$O,PrdAdActif!$B:$B,adProjChocS2,PrdAdActif!$C:$C,adProjScenario,PrdAdActif!$F:$F,adProjCdCanton,PrdAdActif!$G:$G,"OBLIGATION",PrdAdActif!$D:$D,adProjIteration)</f>
        <v>0</v>
      </c>
      <c r="S147" s="60">
        <f>SUMIFS(PrdAdActif!$O:$O,PrdAdActif!$B:$B,adProjChocS2,PrdAdActif!$C:$C,adProjScenario,PrdAdActif!$F:$F,adProjCdCanton,PrdAdActif!$G:$G,"OBLIGATION",PrdAdActif!$D:$D,adProjIteration)</f>
        <v>0</v>
      </c>
      <c r="T147" s="60">
        <f>SUMIFS(PrdAdActif!$O:$O,PrdAdActif!$B:$B,adProjChocS2,PrdAdActif!$C:$C,adProjScenario,PrdAdActif!$F:$F,adProjCdCanton,PrdAdActif!$G:$G,"OBLIGATION",PrdAdActif!$D:$D,adProjIteration)</f>
        <v>0</v>
      </c>
      <c r="U147" s="60">
        <f>SUMIFS(PrdAdActif!$O:$O,PrdAdActif!$B:$B,adProjChocS2,PrdAdActif!$C:$C,adProjScenario,PrdAdActif!$F:$F,adProjCdCanton,PrdAdActif!$G:$G,"OBLIGATION",PrdAdActif!$D:$D,adProjIteration)</f>
        <v>0</v>
      </c>
      <c r="V147" s="60">
        <f>SUMIFS(PrdAdActif!$O:$O,PrdAdActif!$B:$B,adProjChocS2,PrdAdActif!$C:$C,adProjScenario,PrdAdActif!$F:$F,adProjCdCanton,PrdAdActif!$G:$G,"OBLIGATION",PrdAdActif!$D:$D,adProjIteration)</f>
        <v>0</v>
      </c>
      <c r="W147" s="60">
        <f>SUMIFS(PrdAdActif!$O:$O,PrdAdActif!$B:$B,adProjChocS2,PrdAdActif!$C:$C,adProjScenario,PrdAdActif!$F:$F,adProjCdCanton,PrdAdActif!$G:$G,"OBLIGATION",PrdAdActif!$D:$D,adProjIteration)</f>
        <v>0</v>
      </c>
      <c r="X147" s="60">
        <f>SUMIFS(PrdAdActif!$O:$O,PrdAdActif!$B:$B,adProjChocS2,PrdAdActif!$C:$C,adProjScenario,PrdAdActif!$F:$F,adProjCdCanton,PrdAdActif!$G:$G,"OBLIGATION",PrdAdActif!$D:$D,adProjIteration)</f>
        <v>0</v>
      </c>
      <c r="Y147" s="60">
        <f>SUMIFS(PrdAdActif!$O:$O,PrdAdActif!$B:$B,adProjChocS2,PrdAdActif!$C:$C,adProjScenario,PrdAdActif!$F:$F,adProjCdCanton,PrdAdActif!$G:$G,"OBLIGATION",PrdAdActif!$D:$D,adProjIteration)</f>
        <v>0</v>
      </c>
      <c r="Z147" s="60">
        <f>SUMIFS(PrdAdActif!$O:$O,PrdAdActif!$B:$B,adProjChocS2,PrdAdActif!$C:$C,adProjScenario,PrdAdActif!$F:$F,adProjCdCanton,PrdAdActif!$G:$G,"OBLIGATION",PrdAdActif!$D:$D,adProjIteration)</f>
        <v>0</v>
      </c>
      <c r="AA147" s="60">
        <f>SUMIFS(PrdAdActif!$O:$O,PrdAdActif!$B:$B,adProjChocS2,PrdAdActif!$C:$C,adProjScenario,PrdAdActif!$F:$F,adProjCdCanton,PrdAdActif!$G:$G,"OBLIGATION",PrdAdActif!$D:$D,adProjIteration)</f>
        <v>0</v>
      </c>
      <c r="AB147" s="60">
        <f>SUMIFS(PrdAdActif!$O:$O,PrdAdActif!$B:$B,adProjChocS2,PrdAdActif!$C:$C,adProjScenario,PrdAdActif!$F:$F,adProjCdCanton,PrdAdActif!$G:$G,"OBLIGATION",PrdAdActif!$D:$D,adProjIteration)</f>
        <v>0</v>
      </c>
      <c r="AC147" s="60">
        <f>SUMIFS(PrdAdActif!$O:$O,PrdAdActif!$B:$B,adProjChocS2,PrdAdActif!$C:$C,adProjScenario,PrdAdActif!$F:$F,adProjCdCanton,PrdAdActif!$G:$G,"OBLIGATION",PrdAdActif!$D:$D,adProjIteration)</f>
        <v>0</v>
      </c>
      <c r="AD147" s="60">
        <f>SUMIFS(PrdAdActif!$O:$O,PrdAdActif!$B:$B,adProjChocS2,PrdAdActif!$C:$C,adProjScenario,PrdAdActif!$F:$F,adProjCdCanton,PrdAdActif!$G:$G,"OBLIGATION",PrdAdActif!$D:$D,adProjIteration)</f>
        <v>0</v>
      </c>
      <c r="AE147" s="60">
        <f>SUMIFS(PrdAdActif!$O:$O,PrdAdActif!$B:$B,adProjChocS2,PrdAdActif!$C:$C,adProjScenario,PrdAdActif!$F:$F,adProjCdCanton,PrdAdActif!$G:$G,"OBLIGATION",PrdAdActif!$D:$D,adProjIteration)</f>
        <v>0</v>
      </c>
      <c r="AF147" s="60">
        <f>SUMIFS(PrdAdActif!$O:$O,PrdAdActif!$B:$B,adProjChocS2,PrdAdActif!$C:$C,adProjScenario,PrdAdActif!$F:$F,adProjCdCanton,PrdAdActif!$G:$G,"OBLIGATION",PrdAdActif!$D:$D,adProjIteration)</f>
        <v>0</v>
      </c>
      <c r="AG147" s="60">
        <f>SUMIFS(PrdAdActif!$O:$O,PrdAdActif!$B:$B,adProjChocS2,PrdAdActif!$C:$C,adProjScenario,PrdAdActif!$F:$F,adProjCdCanton,PrdAdActif!$G:$G,"OBLIGATION",PrdAdActif!$D:$D,adProjIteration)</f>
        <v>0</v>
      </c>
      <c r="AH147" s="60">
        <f>SUMIFS(PrdAdActif!$O:$O,PrdAdActif!$B:$B,adProjChocS2,PrdAdActif!$C:$C,adProjScenario,PrdAdActif!$F:$F,adProjCdCanton,PrdAdActif!$G:$G,"OBLIGATION",PrdAdActif!$D:$D,adProjIteration)</f>
        <v>0</v>
      </c>
      <c r="AI147" s="60">
        <f>SUMIFS(PrdAdActif!$O:$O,PrdAdActif!$B:$B,adProjChocS2,PrdAdActif!$C:$C,adProjScenario,PrdAdActif!$F:$F,adProjCdCanton,PrdAdActif!$G:$G,"OBLIGATION",PrdAdActif!$D:$D,adProjIteration)</f>
        <v>0</v>
      </c>
      <c r="AJ147" s="60">
        <f>SUMIFS(PrdAdActif!$O:$O,PrdAdActif!$B:$B,adProjChocS2,PrdAdActif!$C:$C,adProjScenario,PrdAdActif!$F:$F,adProjCdCanton,PrdAdActif!$G:$G,"OBLIGATION",PrdAdActif!$D:$D,adProjIteration)</f>
        <v>0</v>
      </c>
      <c r="AK147" s="60">
        <f>SUMIFS(PrdAdActif!$O:$O,PrdAdActif!$B:$B,adProjChocS2,PrdAdActif!$C:$C,adProjScenario,PrdAdActif!$F:$F,adProjCdCanton,PrdAdActif!$G:$G,"OBLIGATION",PrdAdActif!$D:$D,adProjIteration)</f>
        <v>0</v>
      </c>
      <c r="AL147" s="60">
        <f>SUMIFS(PrdAdActif!$O:$O,PrdAdActif!$B:$B,adProjChocS2,PrdAdActif!$C:$C,adProjScenario,PrdAdActif!$F:$F,adProjCdCanton,PrdAdActif!$G:$G,"OBLIGATION",PrdAdActif!$D:$D,adProjIteration)</f>
        <v>0</v>
      </c>
      <c r="AM147" s="60">
        <f>SUMIFS(PrdAdActif!$O:$O,PrdAdActif!$B:$B,adProjChocS2,PrdAdActif!$C:$C,adProjScenario,PrdAdActif!$F:$F,adProjCdCanton,PrdAdActif!$G:$G,"OBLIGATION",PrdAdActif!$D:$D,adProjIteration)</f>
        <v>0</v>
      </c>
      <c r="AN147" s="60">
        <f>SUMIFS(PrdAdActif!$O:$O,PrdAdActif!$B:$B,adProjChocS2,PrdAdActif!$C:$C,adProjScenario,PrdAdActif!$F:$F,adProjCdCanton,PrdAdActif!$G:$G,"OBLIGATION",PrdAdActif!$D:$D,adProjIteration)</f>
        <v>0</v>
      </c>
      <c r="AO147" s="60">
        <f>SUMIFS(PrdAdActif!$O:$O,PrdAdActif!$B:$B,adProjChocS2,PrdAdActif!$C:$C,adProjScenario,PrdAdActif!$F:$F,adProjCdCanton,PrdAdActif!$G:$G,"OBLIGATION",PrdAdActif!$D:$D,adProjIteration)</f>
        <v>0</v>
      </c>
      <c r="AP147" s="60">
        <f>SUMIFS(PrdAdActif!$O:$O,PrdAdActif!$B:$B,adProjChocS2,PrdAdActif!$C:$C,adProjScenario,PrdAdActif!$F:$F,adProjCdCanton,PrdAdActif!$G:$G,"OBLIGATION",PrdAdActif!$D:$D,adProjIteration)</f>
        <v>0</v>
      </c>
      <c r="AQ147" s="60">
        <f>SUMIFS(PrdAdActif!$O:$O,PrdAdActif!$B:$B,adProjChocS2,PrdAdActif!$C:$C,adProjScenario,PrdAdActif!$F:$F,adProjCdCanton,PrdAdActif!$G:$G,"OBLIGATION",PrdAdActif!$D:$D,adProjIteration)</f>
        <v>0</v>
      </c>
      <c r="AR147" s="60">
        <f>SUMIFS(PrdAdActif!$O:$O,PrdAdActif!$B:$B,adProjChocS2,PrdAdActif!$C:$C,adProjScenario,PrdAdActif!$F:$F,adProjCdCanton,PrdAdActif!$G:$G,"OBLIGATION",PrdAdActif!$D:$D,adProjIteration)</f>
        <v>0</v>
      </c>
      <c r="AS147" s="60">
        <f>SUMIFS(PrdAdActif!$O:$O,PrdAdActif!$B:$B,adProjChocS2,PrdAdActif!$C:$C,adProjScenario,PrdAdActif!$F:$F,adProjCdCanton,PrdAdActif!$G:$G,"OBLIGATION",PrdAdActif!$D:$D,adProjIteration)</f>
        <v>0</v>
      </c>
      <c r="AT147" s="60">
        <f>SUMIFS(PrdAdActif!$O:$O,PrdAdActif!$B:$B,adProjChocS2,PrdAdActif!$C:$C,adProjScenario,PrdAdActif!$F:$F,adProjCdCanton,PrdAdActif!$G:$G,"OBLIGATION",PrdAdActif!$D:$D,adProjIteration)</f>
        <v>0</v>
      </c>
      <c r="AU147" s="60">
        <f>SUMIFS(PrdAdActif!$O:$O,PrdAdActif!$B:$B,adProjChocS2,PrdAdActif!$C:$C,adProjScenario,PrdAdActif!$F:$F,adProjCdCanton,PrdAdActif!$G:$G,"OBLIGATION",PrdAdActif!$D:$D,adProjIteration)</f>
        <v>0</v>
      </c>
      <c r="AV147" s="60">
        <f>SUMIFS(PrdAdActif!$O:$O,PrdAdActif!$B:$B,adProjChocS2,PrdAdActif!$C:$C,adProjScenario,PrdAdActif!$F:$F,adProjCdCanton,PrdAdActif!$G:$G,"OBLIGATION",PrdAdActif!$D:$D,adProjIteration)</f>
        <v>0</v>
      </c>
      <c r="AW147" s="60">
        <f>SUMIFS(PrdAdActif!$O:$O,PrdAdActif!$B:$B,adProjChocS2,PrdAdActif!$C:$C,adProjScenario,PrdAdActif!$F:$F,adProjCdCanton,PrdAdActif!$G:$G,"OBLIGATION",PrdAdActif!$D:$D,adProjIteration)</f>
        <v>0</v>
      </c>
      <c r="AX147" s="60">
        <f>SUMIFS(PrdAdActif!$O:$O,PrdAdActif!$B:$B,adProjChocS2,PrdAdActif!$C:$C,adProjScenario,PrdAdActif!$F:$F,adProjCdCanton,PrdAdActif!$G:$G,"OBLIGATION",PrdAdActif!$D:$D,adProjIteration)</f>
        <v>0</v>
      </c>
      <c r="AY147" s="60">
        <f>SUMIFS(PrdAdActif!$O:$O,PrdAdActif!$B:$B,adProjChocS2,PrdAdActif!$C:$C,adProjScenario,PrdAdActif!$F:$F,adProjCdCanton,PrdAdActif!$G:$G,"OBLIGATION",PrdAdActif!$D:$D,adProjIteration)</f>
        <v>0</v>
      </c>
      <c r="AZ147" s="60">
        <f>SUMIFS(PrdAdActif!$O:$O,PrdAdActif!$B:$B,adProjChocS2,PrdAdActif!$C:$C,adProjScenario,PrdAdActif!$F:$F,adProjCdCanton,PrdAdActif!$G:$G,"OBLIGATION",PrdAdActif!$D:$D,adProjIteration)</f>
        <v>0</v>
      </c>
      <c r="BA147" s="60">
        <f>SUMIFS(PrdAdActif!$O:$O,PrdAdActif!$B:$B,adProjChocS2,PrdAdActif!$C:$C,adProjScenario,PrdAdActif!$F:$F,adProjCdCanton,PrdAdActif!$G:$G,"OBLIGATION",PrdAdActif!$D:$D,adProjIteration)</f>
        <v>0</v>
      </c>
      <c r="BB147" s="60">
        <f>SUMIFS(PrdAdActif!$O:$O,PrdAdActif!$B:$B,adProjChocS2,PrdAdActif!$C:$C,adProjScenario,PrdAdActif!$F:$F,adProjCdCanton,PrdAdActif!$G:$G,"OBLIGATION",PrdAdActif!$D:$D,adProjIteration)</f>
        <v>0</v>
      </c>
    </row>
    <row r="148" spans="1:54" ht="16.5" x14ac:dyDescent="0.3">
      <c r="A148" s="16"/>
      <c r="B148" s="56"/>
      <c r="C148" s="59" t="s">
        <v>122</v>
      </c>
      <c r="D148" s="60">
        <f>SUMIFS(PrdAdActif!$O:$O,PrdAdActif!$B:$B,adProjChocS2,PrdAdActif!$C:$C,adProjScenario,PrdAdActif!$F:$F,adProjCdCanton,PrdAdActif!$G:$G,"IMMOBILIER",PrdAdActif!$D:$D,adProjIteration)</f>
        <v>0</v>
      </c>
      <c r="E148" s="60">
        <f>SUMIFS(PrdAdActif!$O:$O,PrdAdActif!$B:$B,adProjChocS2,PrdAdActif!$C:$C,adProjScenario,PrdAdActif!$F:$F,adProjCdCanton,PrdAdActif!$G:$G,"IMMOBILIER",PrdAdActif!$D:$D,adProjIteration)</f>
        <v>0</v>
      </c>
      <c r="F148" s="60">
        <f>SUMIFS(PrdAdActif!$O:$O,PrdAdActif!$B:$B,adProjChocS2,PrdAdActif!$C:$C,adProjScenario,PrdAdActif!$F:$F,adProjCdCanton,PrdAdActif!$G:$G,"IMMOBILIER",PrdAdActif!$D:$D,adProjIteration)</f>
        <v>0</v>
      </c>
      <c r="G148" s="60">
        <f>SUMIFS(PrdAdActif!$O:$O,PrdAdActif!$B:$B,adProjChocS2,PrdAdActif!$C:$C,adProjScenario,PrdAdActif!$F:$F,adProjCdCanton,PrdAdActif!$G:$G,"IMMOBILIER",PrdAdActif!$D:$D,adProjIteration)</f>
        <v>0</v>
      </c>
      <c r="H148" s="60">
        <f>SUMIFS(PrdAdActif!$O:$O,PrdAdActif!$B:$B,adProjChocS2,PrdAdActif!$C:$C,adProjScenario,PrdAdActif!$F:$F,adProjCdCanton,PrdAdActif!$G:$G,"IMMOBILIER",PrdAdActif!$D:$D,adProjIteration)</f>
        <v>0</v>
      </c>
      <c r="I148" s="60">
        <f>SUMIFS(PrdAdActif!$O:$O,PrdAdActif!$B:$B,adProjChocS2,PrdAdActif!$C:$C,adProjScenario,PrdAdActif!$F:$F,adProjCdCanton,PrdAdActif!$G:$G,"IMMOBILIER",PrdAdActif!$D:$D,adProjIteration)</f>
        <v>0</v>
      </c>
      <c r="J148" s="60">
        <f>SUMIFS(PrdAdActif!$O:$O,PrdAdActif!$B:$B,adProjChocS2,PrdAdActif!$C:$C,adProjScenario,PrdAdActif!$F:$F,adProjCdCanton,PrdAdActif!$G:$G,"IMMOBILIER",PrdAdActif!$D:$D,adProjIteration)</f>
        <v>0</v>
      </c>
      <c r="K148" s="60">
        <f>SUMIFS(PrdAdActif!$O:$O,PrdAdActif!$B:$B,adProjChocS2,PrdAdActif!$C:$C,adProjScenario,PrdAdActif!$F:$F,adProjCdCanton,PrdAdActif!$G:$G,"IMMOBILIER",PrdAdActif!$D:$D,adProjIteration)</f>
        <v>0</v>
      </c>
      <c r="L148" s="60">
        <f>SUMIFS(PrdAdActif!$O:$O,PrdAdActif!$B:$B,adProjChocS2,PrdAdActif!$C:$C,adProjScenario,PrdAdActif!$F:$F,adProjCdCanton,PrdAdActif!$G:$G,"IMMOBILIER",PrdAdActif!$D:$D,adProjIteration)</f>
        <v>0</v>
      </c>
      <c r="M148" s="60">
        <f>SUMIFS(PrdAdActif!$O:$O,PrdAdActif!$B:$B,adProjChocS2,PrdAdActif!$C:$C,adProjScenario,PrdAdActif!$F:$F,adProjCdCanton,PrdAdActif!$G:$G,"IMMOBILIER",PrdAdActif!$D:$D,adProjIteration)</f>
        <v>0</v>
      </c>
      <c r="N148" s="60">
        <f>SUMIFS(PrdAdActif!$O:$O,PrdAdActif!$B:$B,adProjChocS2,PrdAdActif!$C:$C,adProjScenario,PrdAdActif!$F:$F,adProjCdCanton,PrdAdActif!$G:$G,"IMMOBILIER",PrdAdActif!$D:$D,adProjIteration)</f>
        <v>0</v>
      </c>
      <c r="O148" s="60">
        <f>SUMIFS(PrdAdActif!$O:$O,PrdAdActif!$B:$B,adProjChocS2,PrdAdActif!$C:$C,adProjScenario,PrdAdActif!$F:$F,adProjCdCanton,PrdAdActif!$G:$G,"IMMOBILIER",PrdAdActif!$D:$D,adProjIteration)</f>
        <v>0</v>
      </c>
      <c r="P148" s="60">
        <f>SUMIFS(PrdAdActif!$O:$O,PrdAdActif!$B:$B,adProjChocS2,PrdAdActif!$C:$C,adProjScenario,PrdAdActif!$F:$F,adProjCdCanton,PrdAdActif!$G:$G,"IMMOBILIER",PrdAdActif!$D:$D,adProjIteration)</f>
        <v>0</v>
      </c>
      <c r="Q148" s="60">
        <f>SUMIFS(PrdAdActif!$O:$O,PrdAdActif!$B:$B,adProjChocS2,PrdAdActif!$C:$C,adProjScenario,PrdAdActif!$F:$F,adProjCdCanton,PrdAdActif!$G:$G,"IMMOBILIER",PrdAdActif!$D:$D,adProjIteration)</f>
        <v>0</v>
      </c>
      <c r="R148" s="60">
        <f>SUMIFS(PrdAdActif!$O:$O,PrdAdActif!$B:$B,adProjChocS2,PrdAdActif!$C:$C,adProjScenario,PrdAdActif!$F:$F,adProjCdCanton,PrdAdActif!$G:$G,"IMMOBILIER",PrdAdActif!$D:$D,adProjIteration)</f>
        <v>0</v>
      </c>
      <c r="S148" s="60">
        <f>SUMIFS(PrdAdActif!$O:$O,PrdAdActif!$B:$B,adProjChocS2,PrdAdActif!$C:$C,adProjScenario,PrdAdActif!$F:$F,adProjCdCanton,PrdAdActif!$G:$G,"IMMOBILIER",PrdAdActif!$D:$D,adProjIteration)</f>
        <v>0</v>
      </c>
      <c r="T148" s="60">
        <f>SUMIFS(PrdAdActif!$O:$O,PrdAdActif!$B:$B,adProjChocS2,PrdAdActif!$C:$C,adProjScenario,PrdAdActif!$F:$F,adProjCdCanton,PrdAdActif!$G:$G,"IMMOBILIER",PrdAdActif!$D:$D,adProjIteration)</f>
        <v>0</v>
      </c>
      <c r="U148" s="60">
        <f>SUMIFS(PrdAdActif!$O:$O,PrdAdActif!$B:$B,adProjChocS2,PrdAdActif!$C:$C,adProjScenario,PrdAdActif!$F:$F,adProjCdCanton,PrdAdActif!$G:$G,"IMMOBILIER",PrdAdActif!$D:$D,adProjIteration)</f>
        <v>0</v>
      </c>
      <c r="V148" s="60">
        <f>SUMIFS(PrdAdActif!$O:$O,PrdAdActif!$B:$B,adProjChocS2,PrdAdActif!$C:$C,adProjScenario,PrdAdActif!$F:$F,adProjCdCanton,PrdAdActif!$G:$G,"IMMOBILIER",PrdAdActif!$D:$D,adProjIteration)</f>
        <v>0</v>
      </c>
      <c r="W148" s="60">
        <f>SUMIFS(PrdAdActif!$O:$O,PrdAdActif!$B:$B,adProjChocS2,PrdAdActif!$C:$C,adProjScenario,PrdAdActif!$F:$F,adProjCdCanton,PrdAdActif!$G:$G,"IMMOBILIER",PrdAdActif!$D:$D,adProjIteration)</f>
        <v>0</v>
      </c>
      <c r="X148" s="60">
        <f>SUMIFS(PrdAdActif!$O:$O,PrdAdActif!$B:$B,adProjChocS2,PrdAdActif!$C:$C,adProjScenario,PrdAdActif!$F:$F,adProjCdCanton,PrdAdActif!$G:$G,"IMMOBILIER",PrdAdActif!$D:$D,adProjIteration)</f>
        <v>0</v>
      </c>
      <c r="Y148" s="60">
        <f>SUMIFS(PrdAdActif!$O:$O,PrdAdActif!$B:$B,adProjChocS2,PrdAdActif!$C:$C,adProjScenario,PrdAdActif!$F:$F,adProjCdCanton,PrdAdActif!$G:$G,"IMMOBILIER",PrdAdActif!$D:$D,adProjIteration)</f>
        <v>0</v>
      </c>
      <c r="Z148" s="60">
        <f>SUMIFS(PrdAdActif!$O:$O,PrdAdActif!$B:$B,adProjChocS2,PrdAdActif!$C:$C,adProjScenario,PrdAdActif!$F:$F,adProjCdCanton,PrdAdActif!$G:$G,"IMMOBILIER",PrdAdActif!$D:$D,adProjIteration)</f>
        <v>0</v>
      </c>
      <c r="AA148" s="60">
        <f>SUMIFS(PrdAdActif!$O:$O,PrdAdActif!$B:$B,adProjChocS2,PrdAdActif!$C:$C,adProjScenario,PrdAdActif!$F:$F,adProjCdCanton,PrdAdActif!$G:$G,"IMMOBILIER",PrdAdActif!$D:$D,adProjIteration)</f>
        <v>0</v>
      </c>
      <c r="AB148" s="60">
        <f>SUMIFS(PrdAdActif!$O:$O,PrdAdActif!$B:$B,adProjChocS2,PrdAdActif!$C:$C,adProjScenario,PrdAdActif!$F:$F,adProjCdCanton,PrdAdActif!$G:$G,"IMMOBILIER",PrdAdActif!$D:$D,adProjIteration)</f>
        <v>0</v>
      </c>
      <c r="AC148" s="60">
        <f>SUMIFS(PrdAdActif!$O:$O,PrdAdActif!$B:$B,adProjChocS2,PrdAdActif!$C:$C,adProjScenario,PrdAdActif!$F:$F,adProjCdCanton,PrdAdActif!$G:$G,"IMMOBILIER",PrdAdActif!$D:$D,adProjIteration)</f>
        <v>0</v>
      </c>
      <c r="AD148" s="60">
        <f>SUMIFS(PrdAdActif!$O:$O,PrdAdActif!$B:$B,adProjChocS2,PrdAdActif!$C:$C,adProjScenario,PrdAdActif!$F:$F,adProjCdCanton,PrdAdActif!$G:$G,"IMMOBILIER",PrdAdActif!$D:$D,adProjIteration)</f>
        <v>0</v>
      </c>
      <c r="AE148" s="60">
        <f>SUMIFS(PrdAdActif!$O:$O,PrdAdActif!$B:$B,adProjChocS2,PrdAdActif!$C:$C,adProjScenario,PrdAdActif!$F:$F,adProjCdCanton,PrdAdActif!$G:$G,"IMMOBILIER",PrdAdActif!$D:$D,adProjIteration)</f>
        <v>0</v>
      </c>
      <c r="AF148" s="60">
        <f>SUMIFS(PrdAdActif!$O:$O,PrdAdActif!$B:$B,adProjChocS2,PrdAdActif!$C:$C,adProjScenario,PrdAdActif!$F:$F,adProjCdCanton,PrdAdActif!$G:$G,"IMMOBILIER",PrdAdActif!$D:$D,adProjIteration)</f>
        <v>0</v>
      </c>
      <c r="AG148" s="60">
        <f>SUMIFS(PrdAdActif!$O:$O,PrdAdActif!$B:$B,adProjChocS2,PrdAdActif!$C:$C,adProjScenario,PrdAdActif!$F:$F,adProjCdCanton,PrdAdActif!$G:$G,"IMMOBILIER",PrdAdActif!$D:$D,adProjIteration)</f>
        <v>0</v>
      </c>
      <c r="AH148" s="60">
        <f>SUMIFS(PrdAdActif!$O:$O,PrdAdActif!$B:$B,adProjChocS2,PrdAdActif!$C:$C,adProjScenario,PrdAdActif!$F:$F,adProjCdCanton,PrdAdActif!$G:$G,"IMMOBILIER",PrdAdActif!$D:$D,adProjIteration)</f>
        <v>0</v>
      </c>
      <c r="AI148" s="60">
        <f>SUMIFS(PrdAdActif!$O:$O,PrdAdActif!$B:$B,adProjChocS2,PrdAdActif!$C:$C,adProjScenario,PrdAdActif!$F:$F,adProjCdCanton,PrdAdActif!$G:$G,"IMMOBILIER",PrdAdActif!$D:$D,adProjIteration)</f>
        <v>0</v>
      </c>
      <c r="AJ148" s="60">
        <f>SUMIFS(PrdAdActif!$O:$O,PrdAdActif!$B:$B,adProjChocS2,PrdAdActif!$C:$C,adProjScenario,PrdAdActif!$F:$F,adProjCdCanton,PrdAdActif!$G:$G,"IMMOBILIER",PrdAdActif!$D:$D,adProjIteration)</f>
        <v>0</v>
      </c>
      <c r="AK148" s="60">
        <f>SUMIFS(PrdAdActif!$O:$O,PrdAdActif!$B:$B,adProjChocS2,PrdAdActif!$C:$C,adProjScenario,PrdAdActif!$F:$F,adProjCdCanton,PrdAdActif!$G:$G,"IMMOBILIER",PrdAdActif!$D:$D,adProjIteration)</f>
        <v>0</v>
      </c>
      <c r="AL148" s="60">
        <f>SUMIFS(PrdAdActif!$O:$O,PrdAdActif!$B:$B,adProjChocS2,PrdAdActif!$C:$C,adProjScenario,PrdAdActif!$F:$F,adProjCdCanton,PrdAdActif!$G:$G,"IMMOBILIER",PrdAdActif!$D:$D,adProjIteration)</f>
        <v>0</v>
      </c>
      <c r="AM148" s="60">
        <f>SUMIFS(PrdAdActif!$O:$O,PrdAdActif!$B:$B,adProjChocS2,PrdAdActif!$C:$C,adProjScenario,PrdAdActif!$F:$F,adProjCdCanton,PrdAdActif!$G:$G,"IMMOBILIER",PrdAdActif!$D:$D,adProjIteration)</f>
        <v>0</v>
      </c>
      <c r="AN148" s="60">
        <f>SUMIFS(PrdAdActif!$O:$O,PrdAdActif!$B:$B,adProjChocS2,PrdAdActif!$C:$C,adProjScenario,PrdAdActif!$F:$F,adProjCdCanton,PrdAdActif!$G:$G,"IMMOBILIER",PrdAdActif!$D:$D,adProjIteration)</f>
        <v>0</v>
      </c>
      <c r="AO148" s="60">
        <f>SUMIFS(PrdAdActif!$O:$O,PrdAdActif!$B:$B,adProjChocS2,PrdAdActif!$C:$C,adProjScenario,PrdAdActif!$F:$F,adProjCdCanton,PrdAdActif!$G:$G,"IMMOBILIER",PrdAdActif!$D:$D,adProjIteration)</f>
        <v>0</v>
      </c>
      <c r="AP148" s="60">
        <f>SUMIFS(PrdAdActif!$O:$O,PrdAdActif!$B:$B,adProjChocS2,PrdAdActif!$C:$C,adProjScenario,PrdAdActif!$F:$F,adProjCdCanton,PrdAdActif!$G:$G,"IMMOBILIER",PrdAdActif!$D:$D,adProjIteration)</f>
        <v>0</v>
      </c>
      <c r="AQ148" s="60">
        <f>SUMIFS(PrdAdActif!$O:$O,PrdAdActif!$B:$B,adProjChocS2,PrdAdActif!$C:$C,adProjScenario,PrdAdActif!$F:$F,adProjCdCanton,PrdAdActif!$G:$G,"IMMOBILIER",PrdAdActif!$D:$D,adProjIteration)</f>
        <v>0</v>
      </c>
      <c r="AR148" s="60">
        <f>SUMIFS(PrdAdActif!$O:$O,PrdAdActif!$B:$B,adProjChocS2,PrdAdActif!$C:$C,adProjScenario,PrdAdActif!$F:$F,adProjCdCanton,PrdAdActif!$G:$G,"IMMOBILIER",PrdAdActif!$D:$D,adProjIteration)</f>
        <v>0</v>
      </c>
      <c r="AS148" s="60">
        <f>SUMIFS(PrdAdActif!$O:$O,PrdAdActif!$B:$B,adProjChocS2,PrdAdActif!$C:$C,adProjScenario,PrdAdActif!$F:$F,adProjCdCanton,PrdAdActif!$G:$G,"IMMOBILIER",PrdAdActif!$D:$D,adProjIteration)</f>
        <v>0</v>
      </c>
      <c r="AT148" s="60">
        <f>SUMIFS(PrdAdActif!$O:$O,PrdAdActif!$B:$B,adProjChocS2,PrdAdActif!$C:$C,adProjScenario,PrdAdActif!$F:$F,adProjCdCanton,PrdAdActif!$G:$G,"IMMOBILIER",PrdAdActif!$D:$D,adProjIteration)</f>
        <v>0</v>
      </c>
      <c r="AU148" s="60">
        <f>SUMIFS(PrdAdActif!$O:$O,PrdAdActif!$B:$B,adProjChocS2,PrdAdActif!$C:$C,adProjScenario,PrdAdActif!$F:$F,adProjCdCanton,PrdAdActif!$G:$G,"IMMOBILIER",PrdAdActif!$D:$D,adProjIteration)</f>
        <v>0</v>
      </c>
      <c r="AV148" s="60">
        <f>SUMIFS(PrdAdActif!$O:$O,PrdAdActif!$B:$B,adProjChocS2,PrdAdActif!$C:$C,adProjScenario,PrdAdActif!$F:$F,adProjCdCanton,PrdAdActif!$G:$G,"IMMOBILIER",PrdAdActif!$D:$D,adProjIteration)</f>
        <v>0</v>
      </c>
      <c r="AW148" s="60">
        <f>SUMIFS(PrdAdActif!$O:$O,PrdAdActif!$B:$B,adProjChocS2,PrdAdActif!$C:$C,adProjScenario,PrdAdActif!$F:$F,adProjCdCanton,PrdAdActif!$G:$G,"IMMOBILIER",PrdAdActif!$D:$D,adProjIteration)</f>
        <v>0</v>
      </c>
      <c r="AX148" s="60">
        <f>SUMIFS(PrdAdActif!$O:$O,PrdAdActif!$B:$B,adProjChocS2,PrdAdActif!$C:$C,adProjScenario,PrdAdActif!$F:$F,adProjCdCanton,PrdAdActif!$G:$G,"IMMOBILIER",PrdAdActif!$D:$D,adProjIteration)</f>
        <v>0</v>
      </c>
      <c r="AY148" s="60">
        <f>SUMIFS(PrdAdActif!$O:$O,PrdAdActif!$B:$B,adProjChocS2,PrdAdActif!$C:$C,adProjScenario,PrdAdActif!$F:$F,adProjCdCanton,PrdAdActif!$G:$G,"IMMOBILIER",PrdAdActif!$D:$D,adProjIteration)</f>
        <v>0</v>
      </c>
      <c r="AZ148" s="60">
        <f>SUMIFS(PrdAdActif!$O:$O,PrdAdActif!$B:$B,adProjChocS2,PrdAdActif!$C:$C,adProjScenario,PrdAdActif!$F:$F,adProjCdCanton,PrdAdActif!$G:$G,"IMMOBILIER",PrdAdActif!$D:$D,adProjIteration)</f>
        <v>0</v>
      </c>
      <c r="BA148" s="60">
        <f>SUMIFS(PrdAdActif!$O:$O,PrdAdActif!$B:$B,adProjChocS2,PrdAdActif!$C:$C,adProjScenario,PrdAdActif!$F:$F,adProjCdCanton,PrdAdActif!$G:$G,"IMMOBILIER",PrdAdActif!$D:$D,adProjIteration)</f>
        <v>0</v>
      </c>
      <c r="BB148" s="60">
        <f>SUMIFS(PrdAdActif!$O:$O,PrdAdActif!$B:$B,adProjChocS2,PrdAdActif!$C:$C,adProjScenario,PrdAdActif!$F:$F,adProjCdCanton,PrdAdActif!$G:$G,"IMMOBILIER",PrdAdActif!$D:$D,adProjIteration)</f>
        <v>0</v>
      </c>
    </row>
    <row r="149" spans="1:54" ht="16.5" x14ac:dyDescent="0.3">
      <c r="A149" s="1"/>
      <c r="B149" s="56"/>
      <c r="C149" s="59" t="s">
        <v>123</v>
      </c>
      <c r="D149" s="60">
        <f>SUMIFS(PrdAdActif!$O:$O,PrdAdActif!$B:$B,adProjChocS2,PrdAdActif!$C:$C,adProjScenario,PrdAdActif!$F:$F,adProjCdCanton,PrdAdActif!$G:$G,"ACTION",PrdAdActif!$D:$D,adProjIteration)</f>
        <v>0</v>
      </c>
      <c r="E149" s="60">
        <f>SUMIFS(PrdAdActif!$O:$O,PrdAdActif!$B:$B,adProjChocS2,PrdAdActif!$C:$C,adProjScenario,PrdAdActif!$F:$F,adProjCdCanton,PrdAdActif!$G:$G,"ACTION",PrdAdActif!$D:$D,adProjIteration)</f>
        <v>0</v>
      </c>
      <c r="F149" s="60">
        <f>SUMIFS(PrdAdActif!$O:$O,PrdAdActif!$B:$B,adProjChocS2,PrdAdActif!$C:$C,adProjScenario,PrdAdActif!$F:$F,adProjCdCanton,PrdAdActif!$G:$G,"ACTION",PrdAdActif!$D:$D,adProjIteration)</f>
        <v>0</v>
      </c>
      <c r="G149" s="60">
        <f>SUMIFS(PrdAdActif!$O:$O,PrdAdActif!$B:$B,adProjChocS2,PrdAdActif!$C:$C,adProjScenario,PrdAdActif!$F:$F,adProjCdCanton,PrdAdActif!$G:$G,"ACTION",PrdAdActif!$D:$D,adProjIteration)</f>
        <v>0</v>
      </c>
      <c r="H149" s="60">
        <f>SUMIFS(PrdAdActif!$O:$O,PrdAdActif!$B:$B,adProjChocS2,PrdAdActif!$C:$C,adProjScenario,PrdAdActif!$F:$F,adProjCdCanton,PrdAdActif!$G:$G,"ACTION",PrdAdActif!$D:$D,adProjIteration)</f>
        <v>0</v>
      </c>
      <c r="I149" s="60">
        <f>SUMIFS(PrdAdActif!$O:$O,PrdAdActif!$B:$B,adProjChocS2,PrdAdActif!$C:$C,adProjScenario,PrdAdActif!$F:$F,adProjCdCanton,PrdAdActif!$G:$G,"ACTION",PrdAdActif!$D:$D,adProjIteration)</f>
        <v>0</v>
      </c>
      <c r="J149" s="60">
        <f>SUMIFS(PrdAdActif!$O:$O,PrdAdActif!$B:$B,adProjChocS2,PrdAdActif!$C:$C,adProjScenario,PrdAdActif!$F:$F,adProjCdCanton,PrdAdActif!$G:$G,"ACTION",PrdAdActif!$D:$D,adProjIteration)</f>
        <v>0</v>
      </c>
      <c r="K149" s="60">
        <f>SUMIFS(PrdAdActif!$O:$O,PrdAdActif!$B:$B,adProjChocS2,PrdAdActif!$C:$C,adProjScenario,PrdAdActif!$F:$F,adProjCdCanton,PrdAdActif!$G:$G,"ACTION",PrdAdActif!$D:$D,adProjIteration)</f>
        <v>0</v>
      </c>
      <c r="L149" s="60">
        <f>SUMIFS(PrdAdActif!$O:$O,PrdAdActif!$B:$B,adProjChocS2,PrdAdActif!$C:$C,adProjScenario,PrdAdActif!$F:$F,adProjCdCanton,PrdAdActif!$G:$G,"ACTION",PrdAdActif!$D:$D,adProjIteration)</f>
        <v>0</v>
      </c>
      <c r="M149" s="60">
        <f>SUMIFS(PrdAdActif!$O:$O,PrdAdActif!$B:$B,adProjChocS2,PrdAdActif!$C:$C,adProjScenario,PrdAdActif!$F:$F,adProjCdCanton,PrdAdActif!$G:$G,"ACTION",PrdAdActif!$D:$D,adProjIteration)</f>
        <v>0</v>
      </c>
      <c r="N149" s="60">
        <f>SUMIFS(PrdAdActif!$O:$O,PrdAdActif!$B:$B,adProjChocS2,PrdAdActif!$C:$C,adProjScenario,PrdAdActif!$F:$F,adProjCdCanton,PrdAdActif!$G:$G,"ACTION",PrdAdActif!$D:$D,adProjIteration)</f>
        <v>0</v>
      </c>
      <c r="O149" s="60">
        <f>SUMIFS(PrdAdActif!$O:$O,PrdAdActif!$B:$B,adProjChocS2,PrdAdActif!$C:$C,adProjScenario,PrdAdActif!$F:$F,adProjCdCanton,PrdAdActif!$G:$G,"ACTION",PrdAdActif!$D:$D,adProjIteration)</f>
        <v>0</v>
      </c>
      <c r="P149" s="60">
        <f>SUMIFS(PrdAdActif!$O:$O,PrdAdActif!$B:$B,adProjChocS2,PrdAdActif!$C:$C,adProjScenario,PrdAdActif!$F:$F,adProjCdCanton,PrdAdActif!$G:$G,"ACTION",PrdAdActif!$D:$D,adProjIteration)</f>
        <v>0</v>
      </c>
      <c r="Q149" s="60">
        <f>SUMIFS(PrdAdActif!$O:$O,PrdAdActif!$B:$B,adProjChocS2,PrdAdActif!$C:$C,adProjScenario,PrdAdActif!$F:$F,adProjCdCanton,PrdAdActif!$G:$G,"ACTION",PrdAdActif!$D:$D,adProjIteration)</f>
        <v>0</v>
      </c>
      <c r="R149" s="60">
        <f>SUMIFS(PrdAdActif!$O:$O,PrdAdActif!$B:$B,adProjChocS2,PrdAdActif!$C:$C,adProjScenario,PrdAdActif!$F:$F,adProjCdCanton,PrdAdActif!$G:$G,"ACTION",PrdAdActif!$D:$D,adProjIteration)</f>
        <v>0</v>
      </c>
      <c r="S149" s="60">
        <f>SUMIFS(PrdAdActif!$O:$O,PrdAdActif!$B:$B,adProjChocS2,PrdAdActif!$C:$C,adProjScenario,PrdAdActif!$F:$F,adProjCdCanton,PrdAdActif!$G:$G,"ACTION",PrdAdActif!$D:$D,adProjIteration)</f>
        <v>0</v>
      </c>
      <c r="T149" s="60">
        <f>SUMIFS(PrdAdActif!$O:$O,PrdAdActif!$B:$B,adProjChocS2,PrdAdActif!$C:$C,adProjScenario,PrdAdActif!$F:$F,adProjCdCanton,PrdAdActif!$G:$G,"ACTION",PrdAdActif!$D:$D,adProjIteration)</f>
        <v>0</v>
      </c>
      <c r="U149" s="60">
        <f>SUMIFS(PrdAdActif!$O:$O,PrdAdActif!$B:$B,adProjChocS2,PrdAdActif!$C:$C,adProjScenario,PrdAdActif!$F:$F,adProjCdCanton,PrdAdActif!$G:$G,"ACTION",PrdAdActif!$D:$D,adProjIteration)</f>
        <v>0</v>
      </c>
      <c r="V149" s="60">
        <f>SUMIFS(PrdAdActif!$O:$O,PrdAdActif!$B:$B,adProjChocS2,PrdAdActif!$C:$C,adProjScenario,PrdAdActif!$F:$F,adProjCdCanton,PrdAdActif!$G:$G,"ACTION",PrdAdActif!$D:$D,adProjIteration)</f>
        <v>0</v>
      </c>
      <c r="W149" s="60">
        <f>SUMIFS(PrdAdActif!$O:$O,PrdAdActif!$B:$B,adProjChocS2,PrdAdActif!$C:$C,adProjScenario,PrdAdActif!$F:$F,adProjCdCanton,PrdAdActif!$G:$G,"ACTION",PrdAdActif!$D:$D,adProjIteration)</f>
        <v>0</v>
      </c>
      <c r="X149" s="60">
        <f>SUMIFS(PrdAdActif!$O:$O,PrdAdActif!$B:$B,adProjChocS2,PrdAdActif!$C:$C,adProjScenario,PrdAdActif!$F:$F,adProjCdCanton,PrdAdActif!$G:$G,"ACTION",PrdAdActif!$D:$D,adProjIteration)</f>
        <v>0</v>
      </c>
      <c r="Y149" s="60">
        <f>SUMIFS(PrdAdActif!$O:$O,PrdAdActif!$B:$B,adProjChocS2,PrdAdActif!$C:$C,adProjScenario,PrdAdActif!$F:$F,adProjCdCanton,PrdAdActif!$G:$G,"ACTION",PrdAdActif!$D:$D,adProjIteration)</f>
        <v>0</v>
      </c>
      <c r="Z149" s="60">
        <f>SUMIFS(PrdAdActif!$O:$O,PrdAdActif!$B:$B,adProjChocS2,PrdAdActif!$C:$C,adProjScenario,PrdAdActif!$F:$F,adProjCdCanton,PrdAdActif!$G:$G,"ACTION",PrdAdActif!$D:$D,adProjIteration)</f>
        <v>0</v>
      </c>
      <c r="AA149" s="60">
        <f>SUMIFS(PrdAdActif!$O:$O,PrdAdActif!$B:$B,adProjChocS2,PrdAdActif!$C:$C,adProjScenario,PrdAdActif!$F:$F,adProjCdCanton,PrdAdActif!$G:$G,"ACTION",PrdAdActif!$D:$D,adProjIteration)</f>
        <v>0</v>
      </c>
      <c r="AB149" s="60">
        <f>SUMIFS(PrdAdActif!$O:$O,PrdAdActif!$B:$B,adProjChocS2,PrdAdActif!$C:$C,adProjScenario,PrdAdActif!$F:$F,adProjCdCanton,PrdAdActif!$G:$G,"ACTION",PrdAdActif!$D:$D,adProjIteration)</f>
        <v>0</v>
      </c>
      <c r="AC149" s="60">
        <f>SUMIFS(PrdAdActif!$O:$O,PrdAdActif!$B:$B,adProjChocS2,PrdAdActif!$C:$C,adProjScenario,PrdAdActif!$F:$F,adProjCdCanton,PrdAdActif!$G:$G,"ACTION",PrdAdActif!$D:$D,adProjIteration)</f>
        <v>0</v>
      </c>
      <c r="AD149" s="60">
        <f>SUMIFS(PrdAdActif!$O:$O,PrdAdActif!$B:$B,adProjChocS2,PrdAdActif!$C:$C,adProjScenario,PrdAdActif!$F:$F,adProjCdCanton,PrdAdActif!$G:$G,"ACTION",PrdAdActif!$D:$D,adProjIteration)</f>
        <v>0</v>
      </c>
      <c r="AE149" s="60">
        <f>SUMIFS(PrdAdActif!$O:$O,PrdAdActif!$B:$B,adProjChocS2,PrdAdActif!$C:$C,adProjScenario,PrdAdActif!$F:$F,adProjCdCanton,PrdAdActif!$G:$G,"ACTION",PrdAdActif!$D:$D,adProjIteration)</f>
        <v>0</v>
      </c>
      <c r="AF149" s="60">
        <f>SUMIFS(PrdAdActif!$O:$O,PrdAdActif!$B:$B,adProjChocS2,PrdAdActif!$C:$C,adProjScenario,PrdAdActif!$F:$F,adProjCdCanton,PrdAdActif!$G:$G,"ACTION",PrdAdActif!$D:$D,adProjIteration)</f>
        <v>0</v>
      </c>
      <c r="AG149" s="60">
        <f>SUMIFS(PrdAdActif!$O:$O,PrdAdActif!$B:$B,adProjChocS2,PrdAdActif!$C:$C,adProjScenario,PrdAdActif!$F:$F,adProjCdCanton,PrdAdActif!$G:$G,"ACTION",PrdAdActif!$D:$D,adProjIteration)</f>
        <v>0</v>
      </c>
      <c r="AH149" s="60">
        <f>SUMIFS(PrdAdActif!$O:$O,PrdAdActif!$B:$B,adProjChocS2,PrdAdActif!$C:$C,adProjScenario,PrdAdActif!$F:$F,adProjCdCanton,PrdAdActif!$G:$G,"ACTION",PrdAdActif!$D:$D,adProjIteration)</f>
        <v>0</v>
      </c>
      <c r="AI149" s="60">
        <f>SUMIFS(PrdAdActif!$O:$O,PrdAdActif!$B:$B,adProjChocS2,PrdAdActif!$C:$C,adProjScenario,PrdAdActif!$F:$F,adProjCdCanton,PrdAdActif!$G:$G,"ACTION",PrdAdActif!$D:$D,adProjIteration)</f>
        <v>0</v>
      </c>
      <c r="AJ149" s="60">
        <f>SUMIFS(PrdAdActif!$O:$O,PrdAdActif!$B:$B,adProjChocS2,PrdAdActif!$C:$C,adProjScenario,PrdAdActif!$F:$F,adProjCdCanton,PrdAdActif!$G:$G,"ACTION",PrdAdActif!$D:$D,adProjIteration)</f>
        <v>0</v>
      </c>
      <c r="AK149" s="60">
        <f>SUMIFS(PrdAdActif!$O:$O,PrdAdActif!$B:$B,adProjChocS2,PrdAdActif!$C:$C,adProjScenario,PrdAdActif!$F:$F,adProjCdCanton,PrdAdActif!$G:$G,"ACTION",PrdAdActif!$D:$D,adProjIteration)</f>
        <v>0</v>
      </c>
      <c r="AL149" s="60">
        <f>SUMIFS(PrdAdActif!$O:$O,PrdAdActif!$B:$B,adProjChocS2,PrdAdActif!$C:$C,adProjScenario,PrdAdActif!$F:$F,adProjCdCanton,PrdAdActif!$G:$G,"ACTION",PrdAdActif!$D:$D,adProjIteration)</f>
        <v>0</v>
      </c>
      <c r="AM149" s="60">
        <f>SUMIFS(PrdAdActif!$O:$O,PrdAdActif!$B:$B,adProjChocS2,PrdAdActif!$C:$C,adProjScenario,PrdAdActif!$F:$F,adProjCdCanton,PrdAdActif!$G:$G,"ACTION",PrdAdActif!$D:$D,adProjIteration)</f>
        <v>0</v>
      </c>
      <c r="AN149" s="60">
        <f>SUMIFS(PrdAdActif!$O:$O,PrdAdActif!$B:$B,adProjChocS2,PrdAdActif!$C:$C,adProjScenario,PrdAdActif!$F:$F,adProjCdCanton,PrdAdActif!$G:$G,"ACTION",PrdAdActif!$D:$D,adProjIteration)</f>
        <v>0</v>
      </c>
      <c r="AO149" s="60">
        <f>SUMIFS(PrdAdActif!$O:$O,PrdAdActif!$B:$B,adProjChocS2,PrdAdActif!$C:$C,adProjScenario,PrdAdActif!$F:$F,adProjCdCanton,PrdAdActif!$G:$G,"ACTION",PrdAdActif!$D:$D,adProjIteration)</f>
        <v>0</v>
      </c>
      <c r="AP149" s="60">
        <f>SUMIFS(PrdAdActif!$O:$O,PrdAdActif!$B:$B,adProjChocS2,PrdAdActif!$C:$C,adProjScenario,PrdAdActif!$F:$F,adProjCdCanton,PrdAdActif!$G:$G,"ACTION",PrdAdActif!$D:$D,adProjIteration)</f>
        <v>0</v>
      </c>
      <c r="AQ149" s="60">
        <f>SUMIFS(PrdAdActif!$O:$O,PrdAdActif!$B:$B,adProjChocS2,PrdAdActif!$C:$C,adProjScenario,PrdAdActif!$F:$F,adProjCdCanton,PrdAdActif!$G:$G,"ACTION",PrdAdActif!$D:$D,adProjIteration)</f>
        <v>0</v>
      </c>
      <c r="AR149" s="60">
        <f>SUMIFS(PrdAdActif!$O:$O,PrdAdActif!$B:$B,adProjChocS2,PrdAdActif!$C:$C,adProjScenario,PrdAdActif!$F:$F,adProjCdCanton,PrdAdActif!$G:$G,"ACTION",PrdAdActif!$D:$D,adProjIteration)</f>
        <v>0</v>
      </c>
      <c r="AS149" s="60">
        <f>SUMIFS(PrdAdActif!$O:$O,PrdAdActif!$B:$B,adProjChocS2,PrdAdActif!$C:$C,adProjScenario,PrdAdActif!$F:$F,adProjCdCanton,PrdAdActif!$G:$G,"ACTION",PrdAdActif!$D:$D,adProjIteration)</f>
        <v>0</v>
      </c>
      <c r="AT149" s="60">
        <f>SUMIFS(PrdAdActif!$O:$O,PrdAdActif!$B:$B,adProjChocS2,PrdAdActif!$C:$C,adProjScenario,PrdAdActif!$F:$F,adProjCdCanton,PrdAdActif!$G:$G,"ACTION",PrdAdActif!$D:$D,adProjIteration)</f>
        <v>0</v>
      </c>
      <c r="AU149" s="60">
        <f>SUMIFS(PrdAdActif!$O:$O,PrdAdActif!$B:$B,adProjChocS2,PrdAdActif!$C:$C,adProjScenario,PrdAdActif!$F:$F,adProjCdCanton,PrdAdActif!$G:$G,"ACTION",PrdAdActif!$D:$D,adProjIteration)</f>
        <v>0</v>
      </c>
      <c r="AV149" s="60">
        <f>SUMIFS(PrdAdActif!$O:$O,PrdAdActif!$B:$B,adProjChocS2,PrdAdActif!$C:$C,adProjScenario,PrdAdActif!$F:$F,adProjCdCanton,PrdAdActif!$G:$G,"ACTION",PrdAdActif!$D:$D,adProjIteration)</f>
        <v>0</v>
      </c>
      <c r="AW149" s="60">
        <f>SUMIFS(PrdAdActif!$O:$O,PrdAdActif!$B:$B,adProjChocS2,PrdAdActif!$C:$C,adProjScenario,PrdAdActif!$F:$F,adProjCdCanton,PrdAdActif!$G:$G,"ACTION",PrdAdActif!$D:$D,adProjIteration)</f>
        <v>0</v>
      </c>
      <c r="AX149" s="60">
        <f>SUMIFS(PrdAdActif!$O:$O,PrdAdActif!$B:$B,adProjChocS2,PrdAdActif!$C:$C,adProjScenario,PrdAdActif!$F:$F,adProjCdCanton,PrdAdActif!$G:$G,"ACTION",PrdAdActif!$D:$D,adProjIteration)</f>
        <v>0</v>
      </c>
      <c r="AY149" s="60">
        <f>SUMIFS(PrdAdActif!$O:$O,PrdAdActif!$B:$B,adProjChocS2,PrdAdActif!$C:$C,adProjScenario,PrdAdActif!$F:$F,adProjCdCanton,PrdAdActif!$G:$G,"ACTION",PrdAdActif!$D:$D,adProjIteration)</f>
        <v>0</v>
      </c>
      <c r="AZ149" s="60">
        <f>SUMIFS(PrdAdActif!$O:$O,PrdAdActif!$B:$B,adProjChocS2,PrdAdActif!$C:$C,adProjScenario,PrdAdActif!$F:$F,adProjCdCanton,PrdAdActif!$G:$G,"ACTION",PrdAdActif!$D:$D,adProjIteration)</f>
        <v>0</v>
      </c>
      <c r="BA149" s="60">
        <f>SUMIFS(PrdAdActif!$O:$O,PrdAdActif!$B:$B,adProjChocS2,PrdAdActif!$C:$C,adProjScenario,PrdAdActif!$F:$F,adProjCdCanton,PrdAdActif!$G:$G,"ACTION",PrdAdActif!$D:$D,adProjIteration)</f>
        <v>0</v>
      </c>
      <c r="BB149" s="60">
        <f>SUMIFS(PrdAdActif!$O:$O,PrdAdActif!$B:$B,adProjChocS2,PrdAdActif!$C:$C,adProjScenario,PrdAdActif!$F:$F,adProjCdCanton,PrdAdActif!$G:$G,"ACTION",PrdAdActif!$D:$D,adProjIteration)</f>
        <v>0</v>
      </c>
    </row>
    <row r="150" spans="1:54" ht="16.5" x14ac:dyDescent="0.3">
      <c r="B150" s="56"/>
      <c r="C150" s="59" t="s">
        <v>124</v>
      </c>
      <c r="D150" s="60">
        <f>SUMIFS(PrdAdActif!$O:$O,PrdAdActif!$B:$B,adProjChocS2,PrdAdActif!$C:$C,adProjScenario,PrdAdActif!$F:$F,adProjCdCanton,PrdAdActif!$G:$G,"MONETAIRE",PrdAdActif!$D:$D,adProjIteration)</f>
        <v>0</v>
      </c>
      <c r="E150" s="60">
        <f>SUMIFS(PrdAdActif!$O:$O,PrdAdActif!$B:$B,adProjChocS2,PrdAdActif!$C:$C,adProjScenario,PrdAdActif!$F:$F,adProjCdCanton,PrdAdActif!$G:$G,"MONETAIRE",PrdAdActif!$D:$D,adProjIteration)</f>
        <v>0</v>
      </c>
      <c r="F150" s="60">
        <f>SUMIFS(PrdAdActif!$O:$O,PrdAdActif!$B:$B,adProjChocS2,PrdAdActif!$C:$C,adProjScenario,PrdAdActif!$F:$F,adProjCdCanton,PrdAdActif!$G:$G,"MONETAIRE",PrdAdActif!$D:$D,adProjIteration)</f>
        <v>0</v>
      </c>
      <c r="G150" s="60">
        <f>SUMIFS(PrdAdActif!$O:$O,PrdAdActif!$B:$B,adProjChocS2,PrdAdActif!$C:$C,adProjScenario,PrdAdActif!$F:$F,adProjCdCanton,PrdAdActif!$G:$G,"MONETAIRE",PrdAdActif!$D:$D,adProjIteration)</f>
        <v>0</v>
      </c>
      <c r="H150" s="60">
        <f>SUMIFS(PrdAdActif!$O:$O,PrdAdActif!$B:$B,adProjChocS2,PrdAdActif!$C:$C,adProjScenario,PrdAdActif!$F:$F,adProjCdCanton,PrdAdActif!$G:$G,"MONETAIRE",PrdAdActif!$D:$D,adProjIteration)</f>
        <v>0</v>
      </c>
      <c r="I150" s="60">
        <f>SUMIFS(PrdAdActif!$O:$O,PrdAdActif!$B:$B,adProjChocS2,PrdAdActif!$C:$C,adProjScenario,PrdAdActif!$F:$F,adProjCdCanton,PrdAdActif!$G:$G,"MONETAIRE",PrdAdActif!$D:$D,adProjIteration)</f>
        <v>0</v>
      </c>
      <c r="J150" s="60">
        <f>SUMIFS(PrdAdActif!$O:$O,PrdAdActif!$B:$B,adProjChocS2,PrdAdActif!$C:$C,adProjScenario,PrdAdActif!$F:$F,adProjCdCanton,PrdAdActif!$G:$G,"MONETAIRE",PrdAdActif!$D:$D,adProjIteration)</f>
        <v>0</v>
      </c>
      <c r="K150" s="60">
        <f>SUMIFS(PrdAdActif!$O:$O,PrdAdActif!$B:$B,adProjChocS2,PrdAdActif!$C:$C,adProjScenario,PrdAdActif!$F:$F,adProjCdCanton,PrdAdActif!$G:$G,"MONETAIRE",PrdAdActif!$D:$D,adProjIteration)</f>
        <v>0</v>
      </c>
      <c r="L150" s="60">
        <f>SUMIFS(PrdAdActif!$O:$O,PrdAdActif!$B:$B,adProjChocS2,PrdAdActif!$C:$C,adProjScenario,PrdAdActif!$F:$F,adProjCdCanton,PrdAdActif!$G:$G,"MONETAIRE",PrdAdActif!$D:$D,adProjIteration)</f>
        <v>0</v>
      </c>
      <c r="M150" s="60">
        <f>SUMIFS(PrdAdActif!$O:$O,PrdAdActif!$B:$B,adProjChocS2,PrdAdActif!$C:$C,adProjScenario,PrdAdActif!$F:$F,adProjCdCanton,PrdAdActif!$G:$G,"MONETAIRE",PrdAdActif!$D:$D,adProjIteration)</f>
        <v>0</v>
      </c>
      <c r="N150" s="60">
        <f>SUMIFS(PrdAdActif!$O:$O,PrdAdActif!$B:$B,adProjChocS2,PrdAdActif!$C:$C,adProjScenario,PrdAdActif!$F:$F,adProjCdCanton,PrdAdActif!$G:$G,"MONETAIRE",PrdAdActif!$D:$D,adProjIteration)</f>
        <v>0</v>
      </c>
      <c r="O150" s="60">
        <f>SUMIFS(PrdAdActif!$O:$O,PrdAdActif!$B:$B,adProjChocS2,PrdAdActif!$C:$C,adProjScenario,PrdAdActif!$F:$F,adProjCdCanton,PrdAdActif!$G:$G,"MONETAIRE",PrdAdActif!$D:$D,adProjIteration)</f>
        <v>0</v>
      </c>
      <c r="P150" s="60">
        <f>SUMIFS(PrdAdActif!$O:$O,PrdAdActif!$B:$B,adProjChocS2,PrdAdActif!$C:$C,adProjScenario,PrdAdActif!$F:$F,adProjCdCanton,PrdAdActif!$G:$G,"MONETAIRE",PrdAdActif!$D:$D,adProjIteration)</f>
        <v>0</v>
      </c>
      <c r="Q150" s="60">
        <f>SUMIFS(PrdAdActif!$O:$O,PrdAdActif!$B:$B,adProjChocS2,PrdAdActif!$C:$C,adProjScenario,PrdAdActif!$F:$F,adProjCdCanton,PrdAdActif!$G:$G,"MONETAIRE",PrdAdActif!$D:$D,adProjIteration)</f>
        <v>0</v>
      </c>
      <c r="R150" s="60">
        <f>SUMIFS(PrdAdActif!$O:$O,PrdAdActif!$B:$B,adProjChocS2,PrdAdActif!$C:$C,adProjScenario,PrdAdActif!$F:$F,adProjCdCanton,PrdAdActif!$G:$G,"MONETAIRE",PrdAdActif!$D:$D,adProjIteration)</f>
        <v>0</v>
      </c>
      <c r="S150" s="60">
        <f>SUMIFS(PrdAdActif!$O:$O,PrdAdActif!$B:$B,adProjChocS2,PrdAdActif!$C:$C,adProjScenario,PrdAdActif!$F:$F,adProjCdCanton,PrdAdActif!$G:$G,"MONETAIRE",PrdAdActif!$D:$D,adProjIteration)</f>
        <v>0</v>
      </c>
      <c r="T150" s="60">
        <f>SUMIFS(PrdAdActif!$O:$O,PrdAdActif!$B:$B,adProjChocS2,PrdAdActif!$C:$C,adProjScenario,PrdAdActif!$F:$F,adProjCdCanton,PrdAdActif!$G:$G,"MONETAIRE",PrdAdActif!$D:$D,adProjIteration)</f>
        <v>0</v>
      </c>
      <c r="U150" s="60">
        <f>SUMIFS(PrdAdActif!$O:$O,PrdAdActif!$B:$B,adProjChocS2,PrdAdActif!$C:$C,adProjScenario,PrdAdActif!$F:$F,adProjCdCanton,PrdAdActif!$G:$G,"MONETAIRE",PrdAdActif!$D:$D,adProjIteration)</f>
        <v>0</v>
      </c>
      <c r="V150" s="60">
        <f>SUMIFS(PrdAdActif!$O:$O,PrdAdActif!$B:$B,adProjChocS2,PrdAdActif!$C:$C,adProjScenario,PrdAdActif!$F:$F,adProjCdCanton,PrdAdActif!$G:$G,"MONETAIRE",PrdAdActif!$D:$D,adProjIteration)</f>
        <v>0</v>
      </c>
      <c r="W150" s="60">
        <f>SUMIFS(PrdAdActif!$O:$O,PrdAdActif!$B:$B,adProjChocS2,PrdAdActif!$C:$C,adProjScenario,PrdAdActif!$F:$F,adProjCdCanton,PrdAdActif!$G:$G,"MONETAIRE",PrdAdActif!$D:$D,adProjIteration)</f>
        <v>0</v>
      </c>
      <c r="X150" s="60">
        <f>SUMIFS(PrdAdActif!$O:$O,PrdAdActif!$B:$B,adProjChocS2,PrdAdActif!$C:$C,adProjScenario,PrdAdActif!$F:$F,adProjCdCanton,PrdAdActif!$G:$G,"MONETAIRE",PrdAdActif!$D:$D,adProjIteration)</f>
        <v>0</v>
      </c>
      <c r="Y150" s="60">
        <f>SUMIFS(PrdAdActif!$O:$O,PrdAdActif!$B:$B,adProjChocS2,PrdAdActif!$C:$C,adProjScenario,PrdAdActif!$F:$F,adProjCdCanton,PrdAdActif!$G:$G,"MONETAIRE",PrdAdActif!$D:$D,adProjIteration)</f>
        <v>0</v>
      </c>
      <c r="Z150" s="60">
        <f>SUMIFS(PrdAdActif!$O:$O,PrdAdActif!$B:$B,adProjChocS2,PrdAdActif!$C:$C,adProjScenario,PrdAdActif!$F:$F,adProjCdCanton,PrdAdActif!$G:$G,"MONETAIRE",PrdAdActif!$D:$D,adProjIteration)</f>
        <v>0</v>
      </c>
      <c r="AA150" s="60">
        <f>SUMIFS(PrdAdActif!$O:$O,PrdAdActif!$B:$B,adProjChocS2,PrdAdActif!$C:$C,adProjScenario,PrdAdActif!$F:$F,adProjCdCanton,PrdAdActif!$G:$G,"MONETAIRE",PrdAdActif!$D:$D,adProjIteration)</f>
        <v>0</v>
      </c>
      <c r="AB150" s="60">
        <f>SUMIFS(PrdAdActif!$O:$O,PrdAdActif!$B:$B,adProjChocS2,PrdAdActif!$C:$C,adProjScenario,PrdAdActif!$F:$F,adProjCdCanton,PrdAdActif!$G:$G,"MONETAIRE",PrdAdActif!$D:$D,adProjIteration)</f>
        <v>0</v>
      </c>
      <c r="AC150" s="60">
        <f>SUMIFS(PrdAdActif!$O:$O,PrdAdActif!$B:$B,adProjChocS2,PrdAdActif!$C:$C,adProjScenario,PrdAdActif!$F:$F,adProjCdCanton,PrdAdActif!$G:$G,"MONETAIRE",PrdAdActif!$D:$D,adProjIteration)</f>
        <v>0</v>
      </c>
      <c r="AD150" s="60">
        <f>SUMIFS(PrdAdActif!$O:$O,PrdAdActif!$B:$B,adProjChocS2,PrdAdActif!$C:$C,adProjScenario,PrdAdActif!$F:$F,adProjCdCanton,PrdAdActif!$G:$G,"MONETAIRE",PrdAdActif!$D:$D,adProjIteration)</f>
        <v>0</v>
      </c>
      <c r="AE150" s="60">
        <f>SUMIFS(PrdAdActif!$O:$O,PrdAdActif!$B:$B,adProjChocS2,PrdAdActif!$C:$C,adProjScenario,PrdAdActif!$F:$F,adProjCdCanton,PrdAdActif!$G:$G,"MONETAIRE",PrdAdActif!$D:$D,adProjIteration)</f>
        <v>0</v>
      </c>
      <c r="AF150" s="60">
        <f>SUMIFS(PrdAdActif!$O:$O,PrdAdActif!$B:$B,adProjChocS2,PrdAdActif!$C:$C,adProjScenario,PrdAdActif!$F:$F,adProjCdCanton,PrdAdActif!$G:$G,"MONETAIRE",PrdAdActif!$D:$D,adProjIteration)</f>
        <v>0</v>
      </c>
      <c r="AG150" s="60">
        <f>SUMIFS(PrdAdActif!$O:$O,PrdAdActif!$B:$B,adProjChocS2,PrdAdActif!$C:$C,adProjScenario,PrdAdActif!$F:$F,adProjCdCanton,PrdAdActif!$G:$G,"MONETAIRE",PrdAdActif!$D:$D,adProjIteration)</f>
        <v>0</v>
      </c>
      <c r="AH150" s="60">
        <f>SUMIFS(PrdAdActif!$O:$O,PrdAdActif!$B:$B,adProjChocS2,PrdAdActif!$C:$C,adProjScenario,PrdAdActif!$F:$F,adProjCdCanton,PrdAdActif!$G:$G,"MONETAIRE",PrdAdActif!$D:$D,adProjIteration)</f>
        <v>0</v>
      </c>
      <c r="AI150" s="60">
        <f>SUMIFS(PrdAdActif!$O:$O,PrdAdActif!$B:$B,adProjChocS2,PrdAdActif!$C:$C,adProjScenario,PrdAdActif!$F:$F,adProjCdCanton,PrdAdActif!$G:$G,"MONETAIRE",PrdAdActif!$D:$D,adProjIteration)</f>
        <v>0</v>
      </c>
      <c r="AJ150" s="60">
        <f>SUMIFS(PrdAdActif!$O:$O,PrdAdActif!$B:$B,adProjChocS2,PrdAdActif!$C:$C,adProjScenario,PrdAdActif!$F:$F,adProjCdCanton,PrdAdActif!$G:$G,"MONETAIRE",PrdAdActif!$D:$D,adProjIteration)</f>
        <v>0</v>
      </c>
      <c r="AK150" s="60">
        <f>SUMIFS(PrdAdActif!$O:$O,PrdAdActif!$B:$B,adProjChocS2,PrdAdActif!$C:$C,adProjScenario,PrdAdActif!$F:$F,adProjCdCanton,PrdAdActif!$G:$G,"MONETAIRE",PrdAdActif!$D:$D,adProjIteration)</f>
        <v>0</v>
      </c>
      <c r="AL150" s="60">
        <f>SUMIFS(PrdAdActif!$O:$O,PrdAdActif!$B:$B,adProjChocS2,PrdAdActif!$C:$C,adProjScenario,PrdAdActif!$F:$F,adProjCdCanton,PrdAdActif!$G:$G,"MONETAIRE",PrdAdActif!$D:$D,adProjIteration)</f>
        <v>0</v>
      </c>
      <c r="AM150" s="60">
        <f>SUMIFS(PrdAdActif!$O:$O,PrdAdActif!$B:$B,adProjChocS2,PrdAdActif!$C:$C,adProjScenario,PrdAdActif!$F:$F,adProjCdCanton,PrdAdActif!$G:$G,"MONETAIRE",PrdAdActif!$D:$D,adProjIteration)</f>
        <v>0</v>
      </c>
      <c r="AN150" s="60">
        <f>SUMIFS(PrdAdActif!$O:$O,PrdAdActif!$B:$B,adProjChocS2,PrdAdActif!$C:$C,adProjScenario,PrdAdActif!$F:$F,adProjCdCanton,PrdAdActif!$G:$G,"MONETAIRE",PrdAdActif!$D:$D,adProjIteration)</f>
        <v>0</v>
      </c>
      <c r="AO150" s="60">
        <f>SUMIFS(PrdAdActif!$O:$O,PrdAdActif!$B:$B,adProjChocS2,PrdAdActif!$C:$C,adProjScenario,PrdAdActif!$F:$F,adProjCdCanton,PrdAdActif!$G:$G,"MONETAIRE",PrdAdActif!$D:$D,adProjIteration)</f>
        <v>0</v>
      </c>
      <c r="AP150" s="60">
        <f>SUMIFS(PrdAdActif!$O:$O,PrdAdActif!$B:$B,adProjChocS2,PrdAdActif!$C:$C,adProjScenario,PrdAdActif!$F:$F,adProjCdCanton,PrdAdActif!$G:$G,"MONETAIRE",PrdAdActif!$D:$D,adProjIteration)</f>
        <v>0</v>
      </c>
      <c r="AQ150" s="60">
        <f>SUMIFS(PrdAdActif!$O:$O,PrdAdActif!$B:$B,adProjChocS2,PrdAdActif!$C:$C,adProjScenario,PrdAdActif!$F:$F,adProjCdCanton,PrdAdActif!$G:$G,"MONETAIRE",PrdAdActif!$D:$D,adProjIteration)</f>
        <v>0</v>
      </c>
      <c r="AR150" s="60">
        <f>SUMIFS(PrdAdActif!$O:$O,PrdAdActif!$B:$B,adProjChocS2,PrdAdActif!$C:$C,adProjScenario,PrdAdActif!$F:$F,adProjCdCanton,PrdAdActif!$G:$G,"MONETAIRE",PrdAdActif!$D:$D,adProjIteration)</f>
        <v>0</v>
      </c>
      <c r="AS150" s="60">
        <f>SUMIFS(PrdAdActif!$O:$O,PrdAdActif!$B:$B,adProjChocS2,PrdAdActif!$C:$C,adProjScenario,PrdAdActif!$F:$F,adProjCdCanton,PrdAdActif!$G:$G,"MONETAIRE",PrdAdActif!$D:$D,adProjIteration)</f>
        <v>0</v>
      </c>
      <c r="AT150" s="60">
        <f>SUMIFS(PrdAdActif!$O:$O,PrdAdActif!$B:$B,adProjChocS2,PrdAdActif!$C:$C,adProjScenario,PrdAdActif!$F:$F,adProjCdCanton,PrdAdActif!$G:$G,"MONETAIRE",PrdAdActif!$D:$D,adProjIteration)</f>
        <v>0</v>
      </c>
      <c r="AU150" s="60">
        <f>SUMIFS(PrdAdActif!$O:$O,PrdAdActif!$B:$B,adProjChocS2,PrdAdActif!$C:$C,adProjScenario,PrdAdActif!$F:$F,adProjCdCanton,PrdAdActif!$G:$G,"MONETAIRE",PrdAdActif!$D:$D,adProjIteration)</f>
        <v>0</v>
      </c>
      <c r="AV150" s="60">
        <f>SUMIFS(PrdAdActif!$O:$O,PrdAdActif!$B:$B,adProjChocS2,PrdAdActif!$C:$C,adProjScenario,PrdAdActif!$F:$F,adProjCdCanton,PrdAdActif!$G:$G,"MONETAIRE",PrdAdActif!$D:$D,adProjIteration)</f>
        <v>0</v>
      </c>
      <c r="AW150" s="60">
        <f>SUMIFS(PrdAdActif!$O:$O,PrdAdActif!$B:$B,adProjChocS2,PrdAdActif!$C:$C,adProjScenario,PrdAdActif!$F:$F,adProjCdCanton,PrdAdActif!$G:$G,"MONETAIRE",PrdAdActif!$D:$D,adProjIteration)</f>
        <v>0</v>
      </c>
      <c r="AX150" s="60">
        <f>SUMIFS(PrdAdActif!$O:$O,PrdAdActif!$B:$B,adProjChocS2,PrdAdActif!$C:$C,adProjScenario,PrdAdActif!$F:$F,adProjCdCanton,PrdAdActif!$G:$G,"MONETAIRE",PrdAdActif!$D:$D,adProjIteration)</f>
        <v>0</v>
      </c>
      <c r="AY150" s="60">
        <f>SUMIFS(PrdAdActif!$O:$O,PrdAdActif!$B:$B,adProjChocS2,PrdAdActif!$C:$C,adProjScenario,PrdAdActif!$F:$F,adProjCdCanton,PrdAdActif!$G:$G,"MONETAIRE",PrdAdActif!$D:$D,adProjIteration)</f>
        <v>0</v>
      </c>
      <c r="AZ150" s="60">
        <f>SUMIFS(PrdAdActif!$O:$O,PrdAdActif!$B:$B,adProjChocS2,PrdAdActif!$C:$C,adProjScenario,PrdAdActif!$F:$F,adProjCdCanton,PrdAdActif!$G:$G,"MONETAIRE",PrdAdActif!$D:$D,adProjIteration)</f>
        <v>0</v>
      </c>
      <c r="BA150" s="60">
        <f>SUMIFS(PrdAdActif!$O:$O,PrdAdActif!$B:$B,adProjChocS2,PrdAdActif!$C:$C,adProjScenario,PrdAdActif!$F:$F,adProjCdCanton,PrdAdActif!$G:$G,"MONETAIRE",PrdAdActif!$D:$D,adProjIteration)</f>
        <v>0</v>
      </c>
      <c r="BB150" s="60">
        <f>SUMIFS(PrdAdActif!$O:$O,PrdAdActif!$B:$B,adProjChocS2,PrdAdActif!$C:$C,adProjScenario,PrdAdActif!$F:$F,adProjCdCanton,PrdAdActif!$G:$G,"MONETAIRE",PrdAdActif!$D:$D,adProjIteration)</f>
        <v>0</v>
      </c>
    </row>
    <row r="151" spans="1:54" ht="16.5" x14ac:dyDescent="0.3">
      <c r="A151" s="16"/>
      <c r="B151" s="56"/>
      <c r="C151" s="59" t="s">
        <v>125</v>
      </c>
      <c r="D151" s="60">
        <f>SUM(D147:D150)</f>
        <v>0</v>
      </c>
      <c r="E151" s="60">
        <f t="shared" ref="E151:BB151" si="48">SUM(E147:E150)</f>
        <v>0</v>
      </c>
      <c r="F151" s="60">
        <f t="shared" si="48"/>
        <v>0</v>
      </c>
      <c r="G151" s="60">
        <f t="shared" si="48"/>
        <v>0</v>
      </c>
      <c r="H151" s="60">
        <f t="shared" si="48"/>
        <v>0</v>
      </c>
      <c r="I151" s="60">
        <f t="shared" si="48"/>
        <v>0</v>
      </c>
      <c r="J151" s="60">
        <f t="shared" si="48"/>
        <v>0</v>
      </c>
      <c r="K151" s="60">
        <f t="shared" si="48"/>
        <v>0</v>
      </c>
      <c r="L151" s="60">
        <f t="shared" si="48"/>
        <v>0</v>
      </c>
      <c r="M151" s="60">
        <f t="shared" si="48"/>
        <v>0</v>
      </c>
      <c r="N151" s="60">
        <f t="shared" si="48"/>
        <v>0</v>
      </c>
      <c r="O151" s="60">
        <f t="shared" si="48"/>
        <v>0</v>
      </c>
      <c r="P151" s="60">
        <f t="shared" si="48"/>
        <v>0</v>
      </c>
      <c r="Q151" s="60">
        <f t="shared" si="48"/>
        <v>0</v>
      </c>
      <c r="R151" s="60">
        <f t="shared" si="48"/>
        <v>0</v>
      </c>
      <c r="S151" s="60">
        <f t="shared" si="48"/>
        <v>0</v>
      </c>
      <c r="T151" s="60">
        <f t="shared" si="48"/>
        <v>0</v>
      </c>
      <c r="U151" s="60">
        <f t="shared" si="48"/>
        <v>0</v>
      </c>
      <c r="V151" s="60">
        <f t="shared" si="48"/>
        <v>0</v>
      </c>
      <c r="W151" s="60">
        <f t="shared" si="48"/>
        <v>0</v>
      </c>
      <c r="X151" s="60">
        <f t="shared" si="48"/>
        <v>0</v>
      </c>
      <c r="Y151" s="60">
        <f t="shared" si="48"/>
        <v>0</v>
      </c>
      <c r="Z151" s="60">
        <f t="shared" si="48"/>
        <v>0</v>
      </c>
      <c r="AA151" s="60">
        <f t="shared" si="48"/>
        <v>0</v>
      </c>
      <c r="AB151" s="60">
        <f t="shared" si="48"/>
        <v>0</v>
      </c>
      <c r="AC151" s="60">
        <f t="shared" si="48"/>
        <v>0</v>
      </c>
      <c r="AD151" s="60">
        <f t="shared" si="48"/>
        <v>0</v>
      </c>
      <c r="AE151" s="60">
        <f t="shared" si="48"/>
        <v>0</v>
      </c>
      <c r="AF151" s="60">
        <f t="shared" si="48"/>
        <v>0</v>
      </c>
      <c r="AG151" s="60">
        <f t="shared" si="48"/>
        <v>0</v>
      </c>
      <c r="AH151" s="60">
        <f t="shared" si="48"/>
        <v>0</v>
      </c>
      <c r="AI151" s="60">
        <f t="shared" si="48"/>
        <v>0</v>
      </c>
      <c r="AJ151" s="60">
        <f t="shared" si="48"/>
        <v>0</v>
      </c>
      <c r="AK151" s="60">
        <f t="shared" si="48"/>
        <v>0</v>
      </c>
      <c r="AL151" s="60">
        <f t="shared" si="48"/>
        <v>0</v>
      </c>
      <c r="AM151" s="60">
        <f t="shared" si="48"/>
        <v>0</v>
      </c>
      <c r="AN151" s="60">
        <f t="shared" si="48"/>
        <v>0</v>
      </c>
      <c r="AO151" s="60">
        <f t="shared" si="48"/>
        <v>0</v>
      </c>
      <c r="AP151" s="60">
        <f t="shared" si="48"/>
        <v>0</v>
      </c>
      <c r="AQ151" s="60">
        <f t="shared" si="48"/>
        <v>0</v>
      </c>
      <c r="AR151" s="60">
        <f t="shared" si="48"/>
        <v>0</v>
      </c>
      <c r="AS151" s="60">
        <f t="shared" si="48"/>
        <v>0</v>
      </c>
      <c r="AT151" s="60">
        <f t="shared" si="48"/>
        <v>0</v>
      </c>
      <c r="AU151" s="60">
        <f t="shared" si="48"/>
        <v>0</v>
      </c>
      <c r="AV151" s="60">
        <f t="shared" si="48"/>
        <v>0</v>
      </c>
      <c r="AW151" s="60">
        <f t="shared" si="48"/>
        <v>0</v>
      </c>
      <c r="AX151" s="60">
        <f t="shared" si="48"/>
        <v>0</v>
      </c>
      <c r="AY151" s="60">
        <f t="shared" si="48"/>
        <v>0</v>
      </c>
      <c r="AZ151" s="60">
        <f t="shared" si="48"/>
        <v>0</v>
      </c>
      <c r="BA151" s="60">
        <f t="shared" si="48"/>
        <v>0</v>
      </c>
      <c r="BB151" s="60">
        <f t="shared" si="48"/>
        <v>0</v>
      </c>
    </row>
    <row r="152" spans="1:54" ht="16.5" x14ac:dyDescent="0.3">
      <c r="A152" s="16"/>
      <c r="B152" s="56"/>
      <c r="C152" s="59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</row>
    <row r="153" spans="1:54" ht="16.5" x14ac:dyDescent="0.3">
      <c r="A153" s="16"/>
      <c r="B153" s="56"/>
      <c r="C153" s="59" t="s">
        <v>126</v>
      </c>
      <c r="D153" s="60"/>
      <c r="E153" s="60">
        <f t="shared" ref="E153:AJ153" si="49">MAX(adPfisTotObligation-adPfisPerfObligation,-adBilanResCapiPrec)</f>
        <v>0</v>
      </c>
      <c r="F153" s="60">
        <f t="shared" si="49"/>
        <v>0</v>
      </c>
      <c r="G153" s="60">
        <f t="shared" si="49"/>
        <v>0</v>
      </c>
      <c r="H153" s="60">
        <f t="shared" si="49"/>
        <v>0</v>
      </c>
      <c r="I153" s="60">
        <f t="shared" si="49"/>
        <v>0</v>
      </c>
      <c r="J153" s="60">
        <f t="shared" si="49"/>
        <v>0</v>
      </c>
      <c r="K153" s="60">
        <f t="shared" si="49"/>
        <v>0</v>
      </c>
      <c r="L153" s="60">
        <f t="shared" si="49"/>
        <v>0</v>
      </c>
      <c r="M153" s="60">
        <f t="shared" si="49"/>
        <v>0</v>
      </c>
      <c r="N153" s="60">
        <f t="shared" si="49"/>
        <v>0</v>
      </c>
      <c r="O153" s="60">
        <f t="shared" si="49"/>
        <v>0</v>
      </c>
      <c r="P153" s="60">
        <f t="shared" si="49"/>
        <v>0</v>
      </c>
      <c r="Q153" s="60">
        <f t="shared" si="49"/>
        <v>0</v>
      </c>
      <c r="R153" s="60">
        <f t="shared" si="49"/>
        <v>0</v>
      </c>
      <c r="S153" s="60">
        <f t="shared" si="49"/>
        <v>0</v>
      </c>
      <c r="T153" s="60">
        <f t="shared" si="49"/>
        <v>0</v>
      </c>
      <c r="U153" s="60">
        <f t="shared" si="49"/>
        <v>0</v>
      </c>
      <c r="V153" s="60">
        <f t="shared" si="49"/>
        <v>0</v>
      </c>
      <c r="W153" s="60">
        <f t="shared" si="49"/>
        <v>0</v>
      </c>
      <c r="X153" s="60">
        <f t="shared" si="49"/>
        <v>0</v>
      </c>
      <c r="Y153" s="60">
        <f t="shared" si="49"/>
        <v>0</v>
      </c>
      <c r="Z153" s="60">
        <f t="shared" si="49"/>
        <v>0</v>
      </c>
      <c r="AA153" s="60">
        <f t="shared" si="49"/>
        <v>0</v>
      </c>
      <c r="AB153" s="60">
        <f t="shared" si="49"/>
        <v>0</v>
      </c>
      <c r="AC153" s="60">
        <f t="shared" si="49"/>
        <v>0</v>
      </c>
      <c r="AD153" s="60">
        <f t="shared" si="49"/>
        <v>0</v>
      </c>
      <c r="AE153" s="60">
        <f t="shared" si="49"/>
        <v>0</v>
      </c>
      <c r="AF153" s="60">
        <f t="shared" si="49"/>
        <v>0</v>
      </c>
      <c r="AG153" s="60">
        <f t="shared" si="49"/>
        <v>0</v>
      </c>
      <c r="AH153" s="60">
        <f t="shared" si="49"/>
        <v>0</v>
      </c>
      <c r="AI153" s="60">
        <f t="shared" si="49"/>
        <v>0</v>
      </c>
      <c r="AJ153" s="60">
        <f t="shared" si="49"/>
        <v>0</v>
      </c>
      <c r="AK153" s="60">
        <f t="shared" ref="AK153:BB153" si="50">MAX(adPfisTotObligation-adPfisPerfObligation,-adBilanResCapiPrec)</f>
        <v>0</v>
      </c>
      <c r="AL153" s="60">
        <f t="shared" si="50"/>
        <v>0</v>
      </c>
      <c r="AM153" s="60">
        <f t="shared" si="50"/>
        <v>0</v>
      </c>
      <c r="AN153" s="60">
        <f t="shared" si="50"/>
        <v>0</v>
      </c>
      <c r="AO153" s="60">
        <f t="shared" si="50"/>
        <v>0</v>
      </c>
      <c r="AP153" s="60">
        <f t="shared" si="50"/>
        <v>0</v>
      </c>
      <c r="AQ153" s="60">
        <f t="shared" si="50"/>
        <v>0</v>
      </c>
      <c r="AR153" s="60">
        <f t="shared" si="50"/>
        <v>0</v>
      </c>
      <c r="AS153" s="60">
        <f t="shared" si="50"/>
        <v>0</v>
      </c>
      <c r="AT153" s="60">
        <f t="shared" si="50"/>
        <v>0</v>
      </c>
      <c r="AU153" s="60">
        <f t="shared" si="50"/>
        <v>0</v>
      </c>
      <c r="AV153" s="60">
        <f t="shared" si="50"/>
        <v>0</v>
      </c>
      <c r="AW153" s="60">
        <f t="shared" si="50"/>
        <v>0</v>
      </c>
      <c r="AX153" s="60">
        <f t="shared" si="50"/>
        <v>0</v>
      </c>
      <c r="AY153" s="60">
        <f t="shared" si="50"/>
        <v>0</v>
      </c>
      <c r="AZ153" s="60">
        <f t="shared" si="50"/>
        <v>0</v>
      </c>
      <c r="BA153" s="60">
        <f t="shared" si="50"/>
        <v>0</v>
      </c>
      <c r="BB153" s="60">
        <f t="shared" si="50"/>
        <v>0</v>
      </c>
    </row>
    <row r="154" spans="1:54" ht="16.5" x14ac:dyDescent="0.3">
      <c r="A154" s="16"/>
      <c r="B154" s="56"/>
      <c r="C154" s="59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</row>
    <row r="155" spans="1:54" ht="16.5" x14ac:dyDescent="0.3">
      <c r="A155" s="16"/>
      <c r="B155" s="56"/>
      <c r="C155" s="59" t="s">
        <v>127</v>
      </c>
      <c r="D155" s="63"/>
      <c r="E155" s="64">
        <f>SUMIFS(#REF!,#REF!,adProjChocS2,#REF!,adProjScenario,#REF!,adProjIteration,#REF!,adProjCdCanton)</f>
        <v>0</v>
      </c>
      <c r="F155" s="64">
        <f>SUMIFS(#REF!,#REF!,adProjChocS2,#REF!,adProjScenario,#REF!,adProjIteration,#REF!,adProjCdCanton)</f>
        <v>0</v>
      </c>
      <c r="G155" s="64">
        <f>SUMIFS(#REF!,#REF!,adProjChocS2,#REF!,adProjScenario,#REF!,adProjIteration,#REF!,adProjCdCanton)</f>
        <v>0</v>
      </c>
      <c r="H155" s="64">
        <f>SUMIFS(#REF!,#REF!,adProjChocS2,#REF!,adProjScenario,#REF!,adProjIteration,#REF!,adProjCdCanton)</f>
        <v>0</v>
      </c>
      <c r="I155" s="64">
        <f>SUMIFS(#REF!,#REF!,adProjChocS2,#REF!,adProjScenario,#REF!,adProjIteration,#REF!,adProjCdCanton)</f>
        <v>0</v>
      </c>
      <c r="J155" s="64">
        <f>SUMIFS(#REF!,#REF!,adProjChocS2,#REF!,adProjScenario,#REF!,adProjIteration,#REF!,adProjCdCanton)</f>
        <v>0</v>
      </c>
      <c r="K155" s="64">
        <f>SUMIFS(#REF!,#REF!,adProjChocS2,#REF!,adProjScenario,#REF!,adProjIteration,#REF!,adProjCdCanton)</f>
        <v>0</v>
      </c>
      <c r="L155" s="64">
        <f>SUMIFS(#REF!,#REF!,adProjChocS2,#REF!,adProjScenario,#REF!,adProjIteration,#REF!,adProjCdCanton)</f>
        <v>0</v>
      </c>
      <c r="M155" s="64">
        <f>SUMIFS(#REF!,#REF!,adProjChocS2,#REF!,adProjScenario,#REF!,adProjIteration,#REF!,adProjCdCanton)</f>
        <v>0</v>
      </c>
      <c r="N155" s="64">
        <f>SUMIFS(#REF!,#REF!,adProjChocS2,#REF!,adProjScenario,#REF!,adProjIteration,#REF!,adProjCdCanton)</f>
        <v>0</v>
      </c>
      <c r="O155" s="64">
        <f>SUMIFS(#REF!,#REF!,adProjChocS2,#REF!,adProjScenario,#REF!,adProjIteration,#REF!,adProjCdCanton)</f>
        <v>0</v>
      </c>
      <c r="P155" s="64">
        <f>SUMIFS(#REF!,#REF!,adProjChocS2,#REF!,adProjScenario,#REF!,adProjIteration,#REF!,adProjCdCanton)</f>
        <v>0</v>
      </c>
      <c r="Q155" s="64">
        <f>SUMIFS(#REF!,#REF!,adProjChocS2,#REF!,adProjScenario,#REF!,adProjIteration,#REF!,adProjCdCanton)</f>
        <v>0</v>
      </c>
      <c r="R155" s="64">
        <f>SUMIFS(#REF!,#REF!,adProjChocS2,#REF!,adProjScenario,#REF!,adProjIteration,#REF!,adProjCdCanton)</f>
        <v>0</v>
      </c>
      <c r="S155" s="64">
        <f>SUMIFS(#REF!,#REF!,adProjChocS2,#REF!,adProjScenario,#REF!,adProjIteration,#REF!,adProjCdCanton)</f>
        <v>0</v>
      </c>
      <c r="T155" s="64">
        <f>SUMIFS(#REF!,#REF!,adProjChocS2,#REF!,adProjScenario,#REF!,adProjIteration,#REF!,adProjCdCanton)</f>
        <v>0</v>
      </c>
      <c r="U155" s="64">
        <f>SUMIFS(#REF!,#REF!,adProjChocS2,#REF!,adProjScenario,#REF!,adProjIteration,#REF!,adProjCdCanton)</f>
        <v>0</v>
      </c>
      <c r="V155" s="64">
        <f>SUMIFS(#REF!,#REF!,adProjChocS2,#REF!,adProjScenario,#REF!,adProjIteration,#REF!,adProjCdCanton)</f>
        <v>0</v>
      </c>
      <c r="W155" s="64">
        <f>SUMIFS(#REF!,#REF!,adProjChocS2,#REF!,adProjScenario,#REF!,adProjIteration,#REF!,adProjCdCanton)</f>
        <v>0</v>
      </c>
      <c r="X155" s="64">
        <f>SUMIFS(#REF!,#REF!,adProjChocS2,#REF!,adProjScenario,#REF!,adProjIteration,#REF!,adProjCdCanton)</f>
        <v>0</v>
      </c>
      <c r="Y155" s="64">
        <f>SUMIFS(#REF!,#REF!,adProjChocS2,#REF!,adProjScenario,#REF!,adProjIteration,#REF!,adProjCdCanton)</f>
        <v>0</v>
      </c>
      <c r="Z155" s="64">
        <f>SUMIFS(#REF!,#REF!,adProjChocS2,#REF!,adProjScenario,#REF!,adProjIteration,#REF!,adProjCdCanton)</f>
        <v>0</v>
      </c>
      <c r="AA155" s="64">
        <f>SUMIFS(#REF!,#REF!,adProjChocS2,#REF!,adProjScenario,#REF!,adProjIteration,#REF!,adProjCdCanton)</f>
        <v>0</v>
      </c>
      <c r="AB155" s="64">
        <f>SUMIFS(#REF!,#REF!,adProjChocS2,#REF!,adProjScenario,#REF!,adProjIteration,#REF!,adProjCdCanton)</f>
        <v>0</v>
      </c>
      <c r="AC155" s="64">
        <f>SUMIFS(#REF!,#REF!,adProjChocS2,#REF!,adProjScenario,#REF!,adProjIteration,#REF!,adProjCdCanton)</f>
        <v>0</v>
      </c>
      <c r="AD155" s="64">
        <f>SUMIFS(#REF!,#REF!,adProjChocS2,#REF!,adProjScenario,#REF!,adProjIteration,#REF!,adProjCdCanton)</f>
        <v>0</v>
      </c>
      <c r="AE155" s="64">
        <f>SUMIFS(#REF!,#REF!,adProjChocS2,#REF!,adProjScenario,#REF!,adProjIteration,#REF!,adProjCdCanton)</f>
        <v>0</v>
      </c>
      <c r="AF155" s="64">
        <f>SUMIFS(#REF!,#REF!,adProjChocS2,#REF!,adProjScenario,#REF!,adProjIteration,#REF!,adProjCdCanton)</f>
        <v>0</v>
      </c>
      <c r="AG155" s="64">
        <f>SUMIFS(#REF!,#REF!,adProjChocS2,#REF!,adProjScenario,#REF!,adProjIteration,#REF!,adProjCdCanton)</f>
        <v>0</v>
      </c>
      <c r="AH155" s="64">
        <f>SUMIFS(#REF!,#REF!,adProjChocS2,#REF!,adProjScenario,#REF!,adProjIteration,#REF!,adProjCdCanton)</f>
        <v>0</v>
      </c>
      <c r="AI155" s="64">
        <f>SUMIFS(#REF!,#REF!,adProjChocS2,#REF!,adProjScenario,#REF!,adProjIteration,#REF!,adProjCdCanton)</f>
        <v>0</v>
      </c>
      <c r="AJ155" s="64">
        <f>SUMIFS(#REF!,#REF!,adProjChocS2,#REF!,adProjScenario,#REF!,adProjIteration,#REF!,adProjCdCanton)</f>
        <v>0</v>
      </c>
      <c r="AK155" s="64">
        <f>SUMIFS(#REF!,#REF!,adProjChocS2,#REF!,adProjScenario,#REF!,adProjIteration,#REF!,adProjCdCanton)</f>
        <v>0</v>
      </c>
      <c r="AL155" s="64">
        <f>SUMIFS(#REF!,#REF!,adProjChocS2,#REF!,adProjScenario,#REF!,adProjIteration,#REF!,adProjCdCanton)</f>
        <v>0</v>
      </c>
      <c r="AM155" s="64">
        <f>SUMIFS(#REF!,#REF!,adProjChocS2,#REF!,adProjScenario,#REF!,adProjIteration,#REF!,adProjCdCanton)</f>
        <v>0</v>
      </c>
      <c r="AN155" s="64">
        <f>SUMIFS(#REF!,#REF!,adProjChocS2,#REF!,adProjScenario,#REF!,adProjIteration,#REF!,adProjCdCanton)</f>
        <v>0</v>
      </c>
      <c r="AO155" s="64">
        <f>SUMIFS(#REF!,#REF!,adProjChocS2,#REF!,adProjScenario,#REF!,adProjIteration,#REF!,adProjCdCanton)</f>
        <v>0</v>
      </c>
      <c r="AP155" s="64">
        <f>SUMIFS(#REF!,#REF!,adProjChocS2,#REF!,adProjScenario,#REF!,adProjIteration,#REF!,adProjCdCanton)</f>
        <v>0</v>
      </c>
      <c r="AQ155" s="64">
        <f>SUMIFS(#REF!,#REF!,adProjChocS2,#REF!,adProjScenario,#REF!,adProjIteration,#REF!,adProjCdCanton)</f>
        <v>0</v>
      </c>
      <c r="AR155" s="64">
        <f>SUMIFS(#REF!,#REF!,adProjChocS2,#REF!,adProjScenario,#REF!,adProjIteration,#REF!,adProjCdCanton)</f>
        <v>0</v>
      </c>
      <c r="AS155" s="64">
        <f>SUMIFS(#REF!,#REF!,adProjChocS2,#REF!,adProjScenario,#REF!,adProjIteration,#REF!,adProjCdCanton)</f>
        <v>0</v>
      </c>
      <c r="AT155" s="64">
        <f>SUMIFS(#REF!,#REF!,adProjChocS2,#REF!,adProjScenario,#REF!,adProjIteration,#REF!,adProjCdCanton)</f>
        <v>0</v>
      </c>
      <c r="AU155" s="64">
        <f>SUMIFS(#REF!,#REF!,adProjChocS2,#REF!,adProjScenario,#REF!,adProjIteration,#REF!,adProjCdCanton)</f>
        <v>0</v>
      </c>
      <c r="AV155" s="64">
        <f>SUMIFS(#REF!,#REF!,adProjChocS2,#REF!,adProjScenario,#REF!,adProjIteration,#REF!,adProjCdCanton)</f>
        <v>0</v>
      </c>
      <c r="AW155" s="64">
        <f>SUMIFS(#REF!,#REF!,adProjChocS2,#REF!,adProjScenario,#REF!,adProjIteration,#REF!,adProjCdCanton)</f>
        <v>0</v>
      </c>
      <c r="AX155" s="64">
        <f>SUMIFS(#REF!,#REF!,adProjChocS2,#REF!,adProjScenario,#REF!,adProjIteration,#REF!,adProjCdCanton)</f>
        <v>0</v>
      </c>
      <c r="AY155" s="64">
        <f>SUMIFS(#REF!,#REF!,adProjChocS2,#REF!,adProjScenario,#REF!,adProjIteration,#REF!,adProjCdCanton)</f>
        <v>0</v>
      </c>
      <c r="AZ155" s="64">
        <f>SUMIFS(#REF!,#REF!,adProjChocS2,#REF!,adProjScenario,#REF!,adProjIteration,#REF!,adProjCdCanton)</f>
        <v>0</v>
      </c>
      <c r="BA155" s="64">
        <f>SUMIFS(#REF!,#REF!,adProjChocS2,#REF!,adProjScenario,#REF!,adProjIteration,#REF!,adProjCdCanton)</f>
        <v>0</v>
      </c>
      <c r="BB155" s="64">
        <f>SUMIFS(#REF!,#REF!,adProjChocS2,#REF!,adProjScenario,#REF!,adProjIteration,#REF!,adProjCdCanton)</f>
        <v>0</v>
      </c>
    </row>
    <row r="156" spans="1:54" ht="16.5" x14ac:dyDescent="0.3">
      <c r="A156" s="16"/>
      <c r="B156" s="56"/>
      <c r="C156" s="65" t="s">
        <v>128</v>
      </c>
      <c r="D156" s="63"/>
      <c r="E156" s="64" t="e">
        <f t="shared" ref="E156:BB156" si="51">adFgxPlct/adVmStratInvTot</f>
        <v>#DIV/0!</v>
      </c>
      <c r="F156" s="64" t="e">
        <f t="shared" si="51"/>
        <v>#DIV/0!</v>
      </c>
      <c r="G156" s="64" t="e">
        <f t="shared" si="51"/>
        <v>#DIV/0!</v>
      </c>
      <c r="H156" s="64" t="e">
        <f t="shared" si="51"/>
        <v>#DIV/0!</v>
      </c>
      <c r="I156" s="64" t="e">
        <f t="shared" si="51"/>
        <v>#DIV/0!</v>
      </c>
      <c r="J156" s="64" t="e">
        <f t="shared" si="51"/>
        <v>#DIV/0!</v>
      </c>
      <c r="K156" s="64" t="e">
        <f t="shared" si="51"/>
        <v>#DIV/0!</v>
      </c>
      <c r="L156" s="64" t="e">
        <f t="shared" si="51"/>
        <v>#DIV/0!</v>
      </c>
      <c r="M156" s="64" t="e">
        <f t="shared" si="51"/>
        <v>#DIV/0!</v>
      </c>
      <c r="N156" s="64" t="e">
        <f t="shared" si="51"/>
        <v>#DIV/0!</v>
      </c>
      <c r="O156" s="64" t="e">
        <f t="shared" si="51"/>
        <v>#DIV/0!</v>
      </c>
      <c r="P156" s="64" t="e">
        <f t="shared" si="51"/>
        <v>#DIV/0!</v>
      </c>
      <c r="Q156" s="64" t="e">
        <f t="shared" si="51"/>
        <v>#DIV/0!</v>
      </c>
      <c r="R156" s="64" t="e">
        <f t="shared" si="51"/>
        <v>#DIV/0!</v>
      </c>
      <c r="S156" s="64" t="e">
        <f t="shared" si="51"/>
        <v>#DIV/0!</v>
      </c>
      <c r="T156" s="64" t="e">
        <f t="shared" si="51"/>
        <v>#DIV/0!</v>
      </c>
      <c r="U156" s="64" t="e">
        <f t="shared" si="51"/>
        <v>#DIV/0!</v>
      </c>
      <c r="V156" s="64" t="e">
        <f t="shared" si="51"/>
        <v>#DIV/0!</v>
      </c>
      <c r="W156" s="64" t="e">
        <f t="shared" si="51"/>
        <v>#DIV/0!</v>
      </c>
      <c r="X156" s="64" t="e">
        <f t="shared" si="51"/>
        <v>#DIV/0!</v>
      </c>
      <c r="Y156" s="64" t="e">
        <f t="shared" si="51"/>
        <v>#DIV/0!</v>
      </c>
      <c r="Z156" s="64" t="e">
        <f t="shared" si="51"/>
        <v>#DIV/0!</v>
      </c>
      <c r="AA156" s="64" t="e">
        <f t="shared" si="51"/>
        <v>#DIV/0!</v>
      </c>
      <c r="AB156" s="64" t="e">
        <f t="shared" si="51"/>
        <v>#DIV/0!</v>
      </c>
      <c r="AC156" s="64" t="e">
        <f t="shared" si="51"/>
        <v>#DIV/0!</v>
      </c>
      <c r="AD156" s="64" t="e">
        <f t="shared" si="51"/>
        <v>#DIV/0!</v>
      </c>
      <c r="AE156" s="64" t="e">
        <f t="shared" si="51"/>
        <v>#DIV/0!</v>
      </c>
      <c r="AF156" s="64" t="e">
        <f t="shared" si="51"/>
        <v>#DIV/0!</v>
      </c>
      <c r="AG156" s="64" t="e">
        <f t="shared" si="51"/>
        <v>#DIV/0!</v>
      </c>
      <c r="AH156" s="64" t="e">
        <f t="shared" si="51"/>
        <v>#DIV/0!</v>
      </c>
      <c r="AI156" s="64" t="e">
        <f t="shared" si="51"/>
        <v>#DIV/0!</v>
      </c>
      <c r="AJ156" s="64" t="e">
        <f t="shared" si="51"/>
        <v>#DIV/0!</v>
      </c>
      <c r="AK156" s="64" t="e">
        <f t="shared" si="51"/>
        <v>#DIV/0!</v>
      </c>
      <c r="AL156" s="64" t="e">
        <f t="shared" si="51"/>
        <v>#DIV/0!</v>
      </c>
      <c r="AM156" s="64" t="e">
        <f t="shared" si="51"/>
        <v>#DIV/0!</v>
      </c>
      <c r="AN156" s="64" t="e">
        <f t="shared" si="51"/>
        <v>#DIV/0!</v>
      </c>
      <c r="AO156" s="64" t="e">
        <f t="shared" si="51"/>
        <v>#DIV/0!</v>
      </c>
      <c r="AP156" s="64" t="e">
        <f t="shared" si="51"/>
        <v>#DIV/0!</v>
      </c>
      <c r="AQ156" s="64" t="e">
        <f t="shared" si="51"/>
        <v>#DIV/0!</v>
      </c>
      <c r="AR156" s="64" t="e">
        <f t="shared" si="51"/>
        <v>#DIV/0!</v>
      </c>
      <c r="AS156" s="64" t="e">
        <f t="shared" si="51"/>
        <v>#DIV/0!</v>
      </c>
      <c r="AT156" s="64" t="e">
        <f t="shared" si="51"/>
        <v>#DIV/0!</v>
      </c>
      <c r="AU156" s="64" t="e">
        <f t="shared" si="51"/>
        <v>#DIV/0!</v>
      </c>
      <c r="AV156" s="64" t="e">
        <f t="shared" si="51"/>
        <v>#DIV/0!</v>
      </c>
      <c r="AW156" s="64" t="e">
        <f t="shared" si="51"/>
        <v>#DIV/0!</v>
      </c>
      <c r="AX156" s="64" t="e">
        <f t="shared" si="51"/>
        <v>#DIV/0!</v>
      </c>
      <c r="AY156" s="64" t="e">
        <f t="shared" si="51"/>
        <v>#DIV/0!</v>
      </c>
      <c r="AZ156" s="64" t="e">
        <f t="shared" si="51"/>
        <v>#DIV/0!</v>
      </c>
      <c r="BA156" s="64" t="e">
        <f t="shared" si="51"/>
        <v>#DIV/0!</v>
      </c>
      <c r="BB156" s="64" t="e">
        <f t="shared" si="51"/>
        <v>#DIV/0!</v>
      </c>
    </row>
    <row r="157" spans="1:54" ht="16.5" x14ac:dyDescent="0.3">
      <c r="A157" s="16"/>
      <c r="B157" s="56"/>
      <c r="C157" s="59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</row>
    <row r="158" spans="1:54" ht="16.5" x14ac:dyDescent="0.3">
      <c r="A158" s="16"/>
      <c r="B158" s="56"/>
      <c r="C158" s="59" t="s">
        <v>129</v>
      </c>
      <c r="D158" s="60"/>
      <c r="E158" s="60">
        <f>SUMIFS(#REF!,#REF!,adProjChocS2,#REF!,adProjScenario,#REF!,adProjIteration,#REF!,adProjCdCanton)</f>
        <v>0</v>
      </c>
      <c r="F158" s="60">
        <f>SUMIFS(#REF!,#REF!,adProjChocS2,#REF!,adProjScenario,#REF!,adProjIteration,#REF!,adProjCdCanton)</f>
        <v>0</v>
      </c>
      <c r="G158" s="60">
        <f>SUMIFS(#REF!,#REF!,adProjChocS2,#REF!,adProjScenario,#REF!,adProjIteration,#REF!,adProjCdCanton)</f>
        <v>0</v>
      </c>
      <c r="H158" s="60">
        <f>SUMIFS(#REF!,#REF!,adProjChocS2,#REF!,adProjScenario,#REF!,adProjIteration,#REF!,adProjCdCanton)</f>
        <v>0</v>
      </c>
      <c r="I158" s="60">
        <f>SUMIFS(#REF!,#REF!,adProjChocS2,#REF!,adProjScenario,#REF!,adProjIteration,#REF!,adProjCdCanton)</f>
        <v>0</v>
      </c>
      <c r="J158" s="60">
        <f>SUMIFS(#REF!,#REF!,adProjChocS2,#REF!,adProjScenario,#REF!,adProjIteration,#REF!,adProjCdCanton)</f>
        <v>0</v>
      </c>
      <c r="K158" s="60">
        <f>SUMIFS(#REF!,#REF!,adProjChocS2,#REF!,adProjScenario,#REF!,adProjIteration,#REF!,adProjCdCanton)</f>
        <v>0</v>
      </c>
      <c r="L158" s="60">
        <f>SUMIFS(#REF!,#REF!,adProjChocS2,#REF!,adProjScenario,#REF!,adProjIteration,#REF!,adProjCdCanton)</f>
        <v>0</v>
      </c>
      <c r="M158" s="60">
        <f>SUMIFS(#REF!,#REF!,adProjChocS2,#REF!,adProjScenario,#REF!,adProjIteration,#REF!,adProjCdCanton)</f>
        <v>0</v>
      </c>
      <c r="N158" s="60">
        <f>SUMIFS(#REF!,#REF!,adProjChocS2,#REF!,adProjScenario,#REF!,adProjIteration,#REF!,adProjCdCanton)</f>
        <v>0</v>
      </c>
      <c r="O158" s="60">
        <f>SUMIFS(#REF!,#REF!,adProjChocS2,#REF!,adProjScenario,#REF!,adProjIteration,#REF!,adProjCdCanton)</f>
        <v>0</v>
      </c>
      <c r="P158" s="60">
        <f>SUMIFS(#REF!,#REF!,adProjChocS2,#REF!,adProjScenario,#REF!,adProjIteration,#REF!,adProjCdCanton)</f>
        <v>0</v>
      </c>
      <c r="Q158" s="60">
        <f>SUMIFS(#REF!,#REF!,adProjChocS2,#REF!,adProjScenario,#REF!,adProjIteration,#REF!,adProjCdCanton)</f>
        <v>0</v>
      </c>
      <c r="R158" s="60">
        <f>SUMIFS(#REF!,#REF!,adProjChocS2,#REF!,adProjScenario,#REF!,adProjIteration,#REF!,adProjCdCanton)</f>
        <v>0</v>
      </c>
      <c r="S158" s="60">
        <f>SUMIFS(#REF!,#REF!,adProjChocS2,#REF!,adProjScenario,#REF!,adProjIteration,#REF!,adProjCdCanton)</f>
        <v>0</v>
      </c>
      <c r="T158" s="60">
        <f>SUMIFS(#REF!,#REF!,adProjChocS2,#REF!,adProjScenario,#REF!,adProjIteration,#REF!,adProjCdCanton)</f>
        <v>0</v>
      </c>
      <c r="U158" s="60">
        <f>SUMIFS(#REF!,#REF!,adProjChocS2,#REF!,adProjScenario,#REF!,adProjIteration,#REF!,adProjCdCanton)</f>
        <v>0</v>
      </c>
      <c r="V158" s="60">
        <f>SUMIFS(#REF!,#REF!,adProjChocS2,#REF!,adProjScenario,#REF!,adProjIteration,#REF!,adProjCdCanton)</f>
        <v>0</v>
      </c>
      <c r="W158" s="60">
        <f>SUMIFS(#REF!,#REF!,adProjChocS2,#REF!,adProjScenario,#REF!,adProjIteration,#REF!,adProjCdCanton)</f>
        <v>0</v>
      </c>
      <c r="X158" s="60">
        <f>SUMIFS(#REF!,#REF!,adProjChocS2,#REF!,adProjScenario,#REF!,adProjIteration,#REF!,adProjCdCanton)</f>
        <v>0</v>
      </c>
      <c r="Y158" s="60">
        <f>SUMIFS(#REF!,#REF!,adProjChocS2,#REF!,adProjScenario,#REF!,adProjIteration,#REF!,adProjCdCanton)</f>
        <v>0</v>
      </c>
      <c r="Z158" s="60">
        <f>SUMIFS(#REF!,#REF!,adProjChocS2,#REF!,adProjScenario,#REF!,adProjIteration,#REF!,adProjCdCanton)</f>
        <v>0</v>
      </c>
      <c r="AA158" s="60">
        <f>SUMIFS(#REF!,#REF!,adProjChocS2,#REF!,adProjScenario,#REF!,adProjIteration,#REF!,adProjCdCanton)</f>
        <v>0</v>
      </c>
      <c r="AB158" s="60">
        <f>SUMIFS(#REF!,#REF!,adProjChocS2,#REF!,adProjScenario,#REF!,adProjIteration,#REF!,adProjCdCanton)</f>
        <v>0</v>
      </c>
      <c r="AC158" s="60">
        <f>SUMIFS(#REF!,#REF!,adProjChocS2,#REF!,adProjScenario,#REF!,adProjIteration,#REF!,adProjCdCanton)</f>
        <v>0</v>
      </c>
      <c r="AD158" s="60">
        <f>SUMIFS(#REF!,#REF!,adProjChocS2,#REF!,adProjScenario,#REF!,adProjIteration,#REF!,adProjCdCanton)</f>
        <v>0</v>
      </c>
      <c r="AE158" s="60">
        <f>SUMIFS(#REF!,#REF!,adProjChocS2,#REF!,adProjScenario,#REF!,adProjIteration,#REF!,adProjCdCanton)</f>
        <v>0</v>
      </c>
      <c r="AF158" s="60">
        <f>SUMIFS(#REF!,#REF!,adProjChocS2,#REF!,adProjScenario,#REF!,adProjIteration,#REF!,adProjCdCanton)</f>
        <v>0</v>
      </c>
      <c r="AG158" s="60">
        <f>SUMIFS(#REF!,#REF!,adProjChocS2,#REF!,adProjScenario,#REF!,adProjIteration,#REF!,adProjCdCanton)</f>
        <v>0</v>
      </c>
      <c r="AH158" s="60">
        <f>SUMIFS(#REF!,#REF!,adProjChocS2,#REF!,adProjScenario,#REF!,adProjIteration,#REF!,adProjCdCanton)</f>
        <v>0</v>
      </c>
      <c r="AI158" s="60">
        <f>SUMIFS(#REF!,#REF!,adProjChocS2,#REF!,adProjScenario,#REF!,adProjIteration,#REF!,adProjCdCanton)</f>
        <v>0</v>
      </c>
      <c r="AJ158" s="60">
        <f>SUMIFS(#REF!,#REF!,adProjChocS2,#REF!,adProjScenario,#REF!,adProjIteration,#REF!,adProjCdCanton)</f>
        <v>0</v>
      </c>
      <c r="AK158" s="60">
        <f>SUMIFS(#REF!,#REF!,adProjChocS2,#REF!,adProjScenario,#REF!,adProjIteration,#REF!,adProjCdCanton)</f>
        <v>0</v>
      </c>
      <c r="AL158" s="60">
        <f>SUMIFS(#REF!,#REF!,adProjChocS2,#REF!,adProjScenario,#REF!,adProjIteration,#REF!,adProjCdCanton)</f>
        <v>0</v>
      </c>
      <c r="AM158" s="60">
        <f>SUMIFS(#REF!,#REF!,adProjChocS2,#REF!,adProjScenario,#REF!,adProjIteration,#REF!,adProjCdCanton)</f>
        <v>0</v>
      </c>
      <c r="AN158" s="60">
        <f>SUMIFS(#REF!,#REF!,adProjChocS2,#REF!,adProjScenario,#REF!,adProjIteration,#REF!,adProjCdCanton)</f>
        <v>0</v>
      </c>
      <c r="AO158" s="60">
        <f>SUMIFS(#REF!,#REF!,adProjChocS2,#REF!,adProjScenario,#REF!,adProjIteration,#REF!,adProjCdCanton)</f>
        <v>0</v>
      </c>
      <c r="AP158" s="60">
        <f>SUMIFS(#REF!,#REF!,adProjChocS2,#REF!,adProjScenario,#REF!,adProjIteration,#REF!,adProjCdCanton)</f>
        <v>0</v>
      </c>
      <c r="AQ158" s="60">
        <f>SUMIFS(#REF!,#REF!,adProjChocS2,#REF!,adProjScenario,#REF!,adProjIteration,#REF!,adProjCdCanton)</f>
        <v>0</v>
      </c>
      <c r="AR158" s="60">
        <f>SUMIFS(#REF!,#REF!,adProjChocS2,#REF!,adProjScenario,#REF!,adProjIteration,#REF!,adProjCdCanton)</f>
        <v>0</v>
      </c>
      <c r="AS158" s="60">
        <f>SUMIFS(#REF!,#REF!,adProjChocS2,#REF!,adProjScenario,#REF!,adProjIteration,#REF!,adProjCdCanton)</f>
        <v>0</v>
      </c>
      <c r="AT158" s="60">
        <f>SUMIFS(#REF!,#REF!,adProjChocS2,#REF!,adProjScenario,#REF!,adProjIteration,#REF!,adProjCdCanton)</f>
        <v>0</v>
      </c>
      <c r="AU158" s="60">
        <f>SUMIFS(#REF!,#REF!,adProjChocS2,#REF!,adProjScenario,#REF!,adProjIteration,#REF!,adProjCdCanton)</f>
        <v>0</v>
      </c>
      <c r="AV158" s="60">
        <f>SUMIFS(#REF!,#REF!,adProjChocS2,#REF!,adProjScenario,#REF!,adProjIteration,#REF!,adProjCdCanton)</f>
        <v>0</v>
      </c>
      <c r="AW158" s="60">
        <f>SUMIFS(#REF!,#REF!,adProjChocS2,#REF!,adProjScenario,#REF!,adProjIteration,#REF!,adProjCdCanton)</f>
        <v>0</v>
      </c>
      <c r="AX158" s="60">
        <f>SUMIFS(#REF!,#REF!,adProjChocS2,#REF!,adProjScenario,#REF!,adProjIteration,#REF!,adProjCdCanton)</f>
        <v>0</v>
      </c>
      <c r="AY158" s="60">
        <f>SUMIFS(#REF!,#REF!,adProjChocS2,#REF!,adProjScenario,#REF!,adProjIteration,#REF!,adProjCdCanton)</f>
        <v>0</v>
      </c>
      <c r="AZ158" s="60">
        <f>SUMIFS(#REF!,#REF!,adProjChocS2,#REF!,adProjScenario,#REF!,adProjIteration,#REF!,adProjCdCanton)</f>
        <v>0</v>
      </c>
      <c r="BA158" s="60">
        <f>SUMIFS(#REF!,#REF!,adProjChocS2,#REF!,adProjScenario,#REF!,adProjIteration,#REF!,adProjCdCanton)</f>
        <v>0</v>
      </c>
      <c r="BB158" s="60">
        <f>SUMIFS(#REF!,#REF!,adProjChocS2,#REF!,adProjScenario,#REF!,adProjIteration,#REF!,adProjCdCanton)</f>
        <v>0</v>
      </c>
    </row>
    <row r="159" spans="1:54" ht="16.5" x14ac:dyDescent="0.3">
      <c r="A159" s="16"/>
      <c r="B159" s="56"/>
      <c r="C159" s="59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</row>
    <row r="160" spans="1:54" ht="16.5" x14ac:dyDescent="0.3">
      <c r="A160" s="16"/>
      <c r="B160" s="56"/>
      <c r="C160" s="59" t="s">
        <v>130</v>
      </c>
      <c r="D160" s="60"/>
      <c r="E160" s="60">
        <f>SUMIFS(#REF!,#REF!,adProjChocS2,#REF!,adProjScenario,#REF!,adProjIteration,#REF!,adProjCdCanton)</f>
        <v>0</v>
      </c>
      <c r="F160" s="60">
        <f>SUMIFS(#REF!,#REF!,adProjChocS2,#REF!,adProjScenario,#REF!,adProjIteration,#REF!,adProjCdCanton)</f>
        <v>0</v>
      </c>
      <c r="G160" s="60">
        <f>SUMIFS(#REF!,#REF!,adProjChocS2,#REF!,adProjScenario,#REF!,adProjIteration,#REF!,adProjCdCanton)</f>
        <v>0</v>
      </c>
      <c r="H160" s="60">
        <f>SUMIFS(#REF!,#REF!,adProjChocS2,#REF!,adProjScenario,#REF!,adProjIteration,#REF!,adProjCdCanton)</f>
        <v>0</v>
      </c>
      <c r="I160" s="60">
        <f>SUMIFS(#REF!,#REF!,adProjChocS2,#REF!,adProjScenario,#REF!,adProjIteration,#REF!,adProjCdCanton)</f>
        <v>0</v>
      </c>
      <c r="J160" s="60">
        <f>SUMIFS(#REF!,#REF!,adProjChocS2,#REF!,adProjScenario,#REF!,adProjIteration,#REF!,adProjCdCanton)</f>
        <v>0</v>
      </c>
      <c r="K160" s="60">
        <f>SUMIFS(#REF!,#REF!,adProjChocS2,#REF!,adProjScenario,#REF!,adProjIteration,#REF!,adProjCdCanton)</f>
        <v>0</v>
      </c>
      <c r="L160" s="60">
        <f>SUMIFS(#REF!,#REF!,adProjChocS2,#REF!,adProjScenario,#REF!,adProjIteration,#REF!,adProjCdCanton)</f>
        <v>0</v>
      </c>
      <c r="M160" s="60">
        <f>SUMIFS(#REF!,#REF!,adProjChocS2,#REF!,adProjScenario,#REF!,adProjIteration,#REF!,adProjCdCanton)</f>
        <v>0</v>
      </c>
      <c r="N160" s="60">
        <f>SUMIFS(#REF!,#REF!,adProjChocS2,#REF!,adProjScenario,#REF!,adProjIteration,#REF!,adProjCdCanton)</f>
        <v>0</v>
      </c>
      <c r="O160" s="60">
        <f>SUMIFS(#REF!,#REF!,adProjChocS2,#REF!,adProjScenario,#REF!,adProjIteration,#REF!,adProjCdCanton)</f>
        <v>0</v>
      </c>
      <c r="P160" s="60">
        <f>SUMIFS(#REF!,#REF!,adProjChocS2,#REF!,adProjScenario,#REF!,adProjIteration,#REF!,adProjCdCanton)</f>
        <v>0</v>
      </c>
      <c r="Q160" s="60">
        <f>SUMIFS(#REF!,#REF!,adProjChocS2,#REF!,adProjScenario,#REF!,adProjIteration,#REF!,adProjCdCanton)</f>
        <v>0</v>
      </c>
      <c r="R160" s="60">
        <f>SUMIFS(#REF!,#REF!,adProjChocS2,#REF!,adProjScenario,#REF!,adProjIteration,#REF!,adProjCdCanton)</f>
        <v>0</v>
      </c>
      <c r="S160" s="60">
        <f>SUMIFS(#REF!,#REF!,adProjChocS2,#REF!,adProjScenario,#REF!,adProjIteration,#REF!,adProjCdCanton)</f>
        <v>0</v>
      </c>
      <c r="T160" s="60">
        <f>SUMIFS(#REF!,#REF!,adProjChocS2,#REF!,adProjScenario,#REF!,adProjIteration,#REF!,adProjCdCanton)</f>
        <v>0</v>
      </c>
      <c r="U160" s="60">
        <f>SUMIFS(#REF!,#REF!,adProjChocS2,#REF!,adProjScenario,#REF!,adProjIteration,#REF!,adProjCdCanton)</f>
        <v>0</v>
      </c>
      <c r="V160" s="60">
        <f>SUMIFS(#REF!,#REF!,adProjChocS2,#REF!,adProjScenario,#REF!,adProjIteration,#REF!,adProjCdCanton)</f>
        <v>0</v>
      </c>
      <c r="W160" s="60">
        <f>SUMIFS(#REF!,#REF!,adProjChocS2,#REF!,adProjScenario,#REF!,adProjIteration,#REF!,adProjCdCanton)</f>
        <v>0</v>
      </c>
      <c r="X160" s="60">
        <f>SUMIFS(#REF!,#REF!,adProjChocS2,#REF!,adProjScenario,#REF!,adProjIteration,#REF!,adProjCdCanton)</f>
        <v>0</v>
      </c>
      <c r="Y160" s="60">
        <f>SUMIFS(#REF!,#REF!,adProjChocS2,#REF!,adProjScenario,#REF!,adProjIteration,#REF!,adProjCdCanton)</f>
        <v>0</v>
      </c>
      <c r="Z160" s="60">
        <f>SUMIFS(#REF!,#REF!,adProjChocS2,#REF!,adProjScenario,#REF!,adProjIteration,#REF!,adProjCdCanton)</f>
        <v>0</v>
      </c>
      <c r="AA160" s="60">
        <f>SUMIFS(#REF!,#REF!,adProjChocS2,#REF!,adProjScenario,#REF!,adProjIteration,#REF!,adProjCdCanton)</f>
        <v>0</v>
      </c>
      <c r="AB160" s="60">
        <f>SUMIFS(#REF!,#REF!,adProjChocS2,#REF!,adProjScenario,#REF!,adProjIteration,#REF!,adProjCdCanton)</f>
        <v>0</v>
      </c>
      <c r="AC160" s="60">
        <f>SUMIFS(#REF!,#REF!,adProjChocS2,#REF!,adProjScenario,#REF!,adProjIteration,#REF!,adProjCdCanton)</f>
        <v>0</v>
      </c>
      <c r="AD160" s="60">
        <f>SUMIFS(#REF!,#REF!,adProjChocS2,#REF!,adProjScenario,#REF!,adProjIteration,#REF!,adProjCdCanton)</f>
        <v>0</v>
      </c>
      <c r="AE160" s="60">
        <f>SUMIFS(#REF!,#REF!,adProjChocS2,#REF!,adProjScenario,#REF!,adProjIteration,#REF!,adProjCdCanton)</f>
        <v>0</v>
      </c>
      <c r="AF160" s="60">
        <f>SUMIFS(#REF!,#REF!,adProjChocS2,#REF!,adProjScenario,#REF!,adProjIteration,#REF!,adProjCdCanton)</f>
        <v>0</v>
      </c>
      <c r="AG160" s="60">
        <f>SUMIFS(#REF!,#REF!,adProjChocS2,#REF!,adProjScenario,#REF!,adProjIteration,#REF!,adProjCdCanton)</f>
        <v>0</v>
      </c>
      <c r="AH160" s="60">
        <f>SUMIFS(#REF!,#REF!,adProjChocS2,#REF!,adProjScenario,#REF!,adProjIteration,#REF!,adProjCdCanton)</f>
        <v>0</v>
      </c>
      <c r="AI160" s="60">
        <f>SUMIFS(#REF!,#REF!,adProjChocS2,#REF!,adProjScenario,#REF!,adProjIteration,#REF!,adProjCdCanton)</f>
        <v>0</v>
      </c>
      <c r="AJ160" s="60">
        <f>SUMIFS(#REF!,#REF!,adProjChocS2,#REF!,adProjScenario,#REF!,adProjIteration,#REF!,adProjCdCanton)</f>
        <v>0</v>
      </c>
      <c r="AK160" s="60">
        <f>SUMIFS(#REF!,#REF!,adProjChocS2,#REF!,adProjScenario,#REF!,adProjIteration,#REF!,adProjCdCanton)</f>
        <v>0</v>
      </c>
      <c r="AL160" s="60">
        <f>SUMIFS(#REF!,#REF!,adProjChocS2,#REF!,adProjScenario,#REF!,adProjIteration,#REF!,adProjCdCanton)</f>
        <v>0</v>
      </c>
      <c r="AM160" s="60">
        <f>SUMIFS(#REF!,#REF!,adProjChocS2,#REF!,adProjScenario,#REF!,adProjIteration,#REF!,adProjCdCanton)</f>
        <v>0</v>
      </c>
      <c r="AN160" s="60">
        <f>SUMIFS(#REF!,#REF!,adProjChocS2,#REF!,adProjScenario,#REF!,adProjIteration,#REF!,adProjCdCanton)</f>
        <v>0</v>
      </c>
      <c r="AO160" s="60">
        <f>SUMIFS(#REF!,#REF!,adProjChocS2,#REF!,adProjScenario,#REF!,adProjIteration,#REF!,adProjCdCanton)</f>
        <v>0</v>
      </c>
      <c r="AP160" s="60">
        <f>SUMIFS(#REF!,#REF!,adProjChocS2,#REF!,adProjScenario,#REF!,adProjIteration,#REF!,adProjCdCanton)</f>
        <v>0</v>
      </c>
      <c r="AQ160" s="60">
        <f>SUMIFS(#REF!,#REF!,adProjChocS2,#REF!,adProjScenario,#REF!,adProjIteration,#REF!,adProjCdCanton)</f>
        <v>0</v>
      </c>
      <c r="AR160" s="60">
        <f>SUMIFS(#REF!,#REF!,adProjChocS2,#REF!,adProjScenario,#REF!,adProjIteration,#REF!,adProjCdCanton)</f>
        <v>0</v>
      </c>
      <c r="AS160" s="60">
        <f>SUMIFS(#REF!,#REF!,adProjChocS2,#REF!,adProjScenario,#REF!,adProjIteration,#REF!,adProjCdCanton)</f>
        <v>0</v>
      </c>
      <c r="AT160" s="60">
        <f>SUMIFS(#REF!,#REF!,adProjChocS2,#REF!,adProjScenario,#REF!,adProjIteration,#REF!,adProjCdCanton)</f>
        <v>0</v>
      </c>
      <c r="AU160" s="60">
        <f>SUMIFS(#REF!,#REF!,adProjChocS2,#REF!,adProjScenario,#REF!,adProjIteration,#REF!,adProjCdCanton)</f>
        <v>0</v>
      </c>
      <c r="AV160" s="60">
        <f>SUMIFS(#REF!,#REF!,adProjChocS2,#REF!,adProjScenario,#REF!,adProjIteration,#REF!,adProjCdCanton)</f>
        <v>0</v>
      </c>
      <c r="AW160" s="60">
        <f>SUMIFS(#REF!,#REF!,adProjChocS2,#REF!,adProjScenario,#REF!,adProjIteration,#REF!,adProjCdCanton)</f>
        <v>0</v>
      </c>
      <c r="AX160" s="60">
        <f>SUMIFS(#REF!,#REF!,adProjChocS2,#REF!,adProjScenario,#REF!,adProjIteration,#REF!,adProjCdCanton)</f>
        <v>0</v>
      </c>
      <c r="AY160" s="60">
        <f>SUMIFS(#REF!,#REF!,adProjChocS2,#REF!,adProjScenario,#REF!,adProjIteration,#REF!,adProjCdCanton)</f>
        <v>0</v>
      </c>
      <c r="AZ160" s="60">
        <f>SUMIFS(#REF!,#REF!,adProjChocS2,#REF!,adProjScenario,#REF!,adProjIteration,#REF!,adProjCdCanton)</f>
        <v>0</v>
      </c>
      <c r="BA160" s="60">
        <f>SUMIFS(#REF!,#REF!,adProjChocS2,#REF!,adProjScenario,#REF!,adProjIteration,#REF!,adProjCdCanton)</f>
        <v>0</v>
      </c>
      <c r="BB160" s="60">
        <f>SUMIFS(#REF!,#REF!,adProjChocS2,#REF!,adProjScenario,#REF!,adProjIteration,#REF!,adProjCdCanton)</f>
        <v>0</v>
      </c>
    </row>
    <row r="161" spans="1:54" ht="16.5" x14ac:dyDescent="0.3">
      <c r="A161" s="16"/>
      <c r="B161" s="56"/>
      <c r="C161" s="61" t="s">
        <v>131</v>
      </c>
      <c r="D161" s="60"/>
      <c r="E161" s="60">
        <f t="shared" ref="E161:AJ161" si="52">adPfisTotTot-adResCapiDelta-adFgxPlct-adChgtPfi</f>
        <v>0</v>
      </c>
      <c r="F161" s="60">
        <f t="shared" si="52"/>
        <v>0</v>
      </c>
      <c r="G161" s="60">
        <f t="shared" si="52"/>
        <v>0</v>
      </c>
      <c r="H161" s="60">
        <f t="shared" si="52"/>
        <v>0</v>
      </c>
      <c r="I161" s="60">
        <f t="shared" si="52"/>
        <v>0</v>
      </c>
      <c r="J161" s="60">
        <f t="shared" si="52"/>
        <v>0</v>
      </c>
      <c r="K161" s="60">
        <f t="shared" si="52"/>
        <v>0</v>
      </c>
      <c r="L161" s="60">
        <f t="shared" si="52"/>
        <v>0</v>
      </c>
      <c r="M161" s="60">
        <f t="shared" si="52"/>
        <v>0</v>
      </c>
      <c r="N161" s="60">
        <f t="shared" si="52"/>
        <v>0</v>
      </c>
      <c r="O161" s="60">
        <f t="shared" si="52"/>
        <v>0</v>
      </c>
      <c r="P161" s="60">
        <f t="shared" si="52"/>
        <v>0</v>
      </c>
      <c r="Q161" s="60">
        <f t="shared" si="52"/>
        <v>0</v>
      </c>
      <c r="R161" s="60">
        <f t="shared" si="52"/>
        <v>0</v>
      </c>
      <c r="S161" s="60">
        <f t="shared" si="52"/>
        <v>0</v>
      </c>
      <c r="T161" s="60">
        <f t="shared" si="52"/>
        <v>0</v>
      </c>
      <c r="U161" s="60">
        <f t="shared" si="52"/>
        <v>0</v>
      </c>
      <c r="V161" s="60">
        <f t="shared" si="52"/>
        <v>0</v>
      </c>
      <c r="W161" s="60">
        <f t="shared" si="52"/>
        <v>0</v>
      </c>
      <c r="X161" s="60">
        <f t="shared" si="52"/>
        <v>0</v>
      </c>
      <c r="Y161" s="60">
        <f t="shared" si="52"/>
        <v>0</v>
      </c>
      <c r="Z161" s="60">
        <f t="shared" si="52"/>
        <v>0</v>
      </c>
      <c r="AA161" s="60">
        <f t="shared" si="52"/>
        <v>0</v>
      </c>
      <c r="AB161" s="60">
        <f t="shared" si="52"/>
        <v>0</v>
      </c>
      <c r="AC161" s="60">
        <f t="shared" si="52"/>
        <v>0</v>
      </c>
      <c r="AD161" s="60">
        <f t="shared" si="52"/>
        <v>0</v>
      </c>
      <c r="AE161" s="60">
        <f t="shared" si="52"/>
        <v>0</v>
      </c>
      <c r="AF161" s="60">
        <f t="shared" si="52"/>
        <v>0</v>
      </c>
      <c r="AG161" s="60">
        <f t="shared" si="52"/>
        <v>0</v>
      </c>
      <c r="AH161" s="60">
        <f t="shared" si="52"/>
        <v>0</v>
      </c>
      <c r="AI161" s="60">
        <f t="shared" si="52"/>
        <v>0</v>
      </c>
      <c r="AJ161" s="60">
        <f t="shared" si="52"/>
        <v>0</v>
      </c>
      <c r="AK161" s="60">
        <f t="shared" ref="AK161:BB161" si="53">adPfisTotTot-adResCapiDelta-adFgxPlct-adChgtPfi</f>
        <v>0</v>
      </c>
      <c r="AL161" s="60">
        <f t="shared" si="53"/>
        <v>0</v>
      </c>
      <c r="AM161" s="60">
        <f t="shared" si="53"/>
        <v>0</v>
      </c>
      <c r="AN161" s="60">
        <f t="shared" si="53"/>
        <v>0</v>
      </c>
      <c r="AO161" s="60">
        <f t="shared" si="53"/>
        <v>0</v>
      </c>
      <c r="AP161" s="60">
        <f t="shared" si="53"/>
        <v>0</v>
      </c>
      <c r="AQ161" s="60">
        <f t="shared" si="53"/>
        <v>0</v>
      </c>
      <c r="AR161" s="60">
        <f t="shared" si="53"/>
        <v>0</v>
      </c>
      <c r="AS161" s="60">
        <f t="shared" si="53"/>
        <v>0</v>
      </c>
      <c r="AT161" s="60">
        <f t="shared" si="53"/>
        <v>0</v>
      </c>
      <c r="AU161" s="60">
        <f t="shared" si="53"/>
        <v>0</v>
      </c>
      <c r="AV161" s="60">
        <f t="shared" si="53"/>
        <v>0</v>
      </c>
      <c r="AW161" s="60">
        <f t="shared" si="53"/>
        <v>0</v>
      </c>
      <c r="AX161" s="60">
        <f t="shared" si="53"/>
        <v>0</v>
      </c>
      <c r="AY161" s="60">
        <f t="shared" si="53"/>
        <v>0</v>
      </c>
      <c r="AZ161" s="60">
        <f t="shared" si="53"/>
        <v>0</v>
      </c>
      <c r="BA161" s="60">
        <f t="shared" si="53"/>
        <v>0</v>
      </c>
      <c r="BB161" s="60">
        <f t="shared" si="53"/>
        <v>0</v>
      </c>
    </row>
    <row r="162" spans="1:54" ht="16.5" x14ac:dyDescent="0.3">
      <c r="A162" s="16"/>
      <c r="B162" s="56"/>
      <c r="C162" s="61" t="s">
        <v>132</v>
      </c>
      <c r="D162" s="20" t="b">
        <f>AND(E162:BB162)</f>
        <v>1</v>
      </c>
      <c r="E162" s="46" t="b" cm="1">
        <f t="array" ref="E162">ABS(adCrFi-adCrFiCalc)&lt;1</f>
        <v>1</v>
      </c>
      <c r="F162" s="46" t="b" cm="1">
        <f t="array" ref="F162">ABS(adCrFi-adCrFiCalc)&lt;1</f>
        <v>1</v>
      </c>
      <c r="G162" s="46" t="b" cm="1">
        <f t="array" ref="G162">ABS(adCrFi-adCrFiCalc)&lt;1</f>
        <v>1</v>
      </c>
      <c r="H162" s="46" t="b" cm="1">
        <f t="array" ref="H162">ABS(adCrFi-adCrFiCalc)&lt;1</f>
        <v>1</v>
      </c>
      <c r="I162" s="46" t="b" cm="1">
        <f t="array" ref="I162">ABS(adCrFi-adCrFiCalc)&lt;1</f>
        <v>1</v>
      </c>
      <c r="J162" s="46" t="b" cm="1">
        <f t="array" ref="J162">ABS(adCrFi-adCrFiCalc)&lt;1</f>
        <v>1</v>
      </c>
      <c r="K162" s="46" t="b" cm="1">
        <f t="array" ref="K162">ABS(adCrFi-adCrFiCalc)&lt;1</f>
        <v>1</v>
      </c>
      <c r="L162" s="46" t="b" cm="1">
        <f t="array" ref="L162">ABS(adCrFi-adCrFiCalc)&lt;1</f>
        <v>1</v>
      </c>
      <c r="M162" s="46" t="b" cm="1">
        <f t="array" ref="M162">ABS(adCrFi-adCrFiCalc)&lt;1</f>
        <v>1</v>
      </c>
      <c r="N162" s="46" t="b" cm="1">
        <f t="array" ref="N162">ABS(adCrFi-adCrFiCalc)&lt;1</f>
        <v>1</v>
      </c>
      <c r="O162" s="46" t="b" cm="1">
        <f t="array" ref="O162">ABS(adCrFi-adCrFiCalc)&lt;1</f>
        <v>1</v>
      </c>
      <c r="P162" s="46" t="b" cm="1">
        <f t="array" ref="P162">ABS(adCrFi-adCrFiCalc)&lt;1</f>
        <v>1</v>
      </c>
      <c r="Q162" s="46" t="b" cm="1">
        <f t="array" ref="Q162">ABS(adCrFi-adCrFiCalc)&lt;1</f>
        <v>1</v>
      </c>
      <c r="R162" s="46" t="b" cm="1">
        <f t="array" ref="R162">ABS(adCrFi-adCrFiCalc)&lt;1</f>
        <v>1</v>
      </c>
      <c r="S162" s="46" t="b" cm="1">
        <f t="array" ref="S162">ABS(adCrFi-adCrFiCalc)&lt;1</f>
        <v>1</v>
      </c>
      <c r="T162" s="46" t="b" cm="1">
        <f t="array" ref="T162">ABS(adCrFi-adCrFiCalc)&lt;1</f>
        <v>1</v>
      </c>
      <c r="U162" s="46" t="b" cm="1">
        <f t="array" ref="U162">ABS(adCrFi-adCrFiCalc)&lt;1</f>
        <v>1</v>
      </c>
      <c r="V162" s="46" t="b" cm="1">
        <f t="array" ref="V162">ABS(adCrFi-adCrFiCalc)&lt;1</f>
        <v>1</v>
      </c>
      <c r="W162" s="46" t="b" cm="1">
        <f t="array" ref="W162">ABS(adCrFi-adCrFiCalc)&lt;1</f>
        <v>1</v>
      </c>
      <c r="X162" s="46" t="b" cm="1">
        <f t="array" ref="X162">ABS(adCrFi-adCrFiCalc)&lt;1</f>
        <v>1</v>
      </c>
      <c r="Y162" s="46" t="b" cm="1">
        <f t="array" ref="Y162">ABS(adCrFi-adCrFiCalc)&lt;1</f>
        <v>1</v>
      </c>
      <c r="Z162" s="46" t="b" cm="1">
        <f t="array" ref="Z162">ABS(adCrFi-adCrFiCalc)&lt;1</f>
        <v>1</v>
      </c>
      <c r="AA162" s="46" t="b" cm="1">
        <f t="array" ref="AA162">ABS(adCrFi-adCrFiCalc)&lt;1</f>
        <v>1</v>
      </c>
      <c r="AB162" s="46" t="b" cm="1">
        <f t="array" ref="AB162">ABS(adCrFi-adCrFiCalc)&lt;1</f>
        <v>1</v>
      </c>
      <c r="AC162" s="46" t="b" cm="1">
        <f t="array" ref="AC162">ABS(adCrFi-adCrFiCalc)&lt;1</f>
        <v>1</v>
      </c>
      <c r="AD162" s="46" t="b" cm="1">
        <f t="array" ref="AD162">ABS(adCrFi-adCrFiCalc)&lt;1</f>
        <v>1</v>
      </c>
      <c r="AE162" s="46" t="b" cm="1">
        <f t="array" ref="AE162">ABS(adCrFi-adCrFiCalc)&lt;1</f>
        <v>1</v>
      </c>
      <c r="AF162" s="46" t="b" cm="1">
        <f t="array" ref="AF162">ABS(adCrFi-adCrFiCalc)&lt;1</f>
        <v>1</v>
      </c>
      <c r="AG162" s="46" t="b" cm="1">
        <f t="array" ref="AG162">ABS(adCrFi-adCrFiCalc)&lt;1</f>
        <v>1</v>
      </c>
      <c r="AH162" s="46" t="b" cm="1">
        <f t="array" ref="AH162">ABS(adCrFi-adCrFiCalc)&lt;1</f>
        <v>1</v>
      </c>
      <c r="AI162" s="46" t="b" cm="1">
        <f t="array" ref="AI162">ABS(adCrFi-adCrFiCalc)&lt;1</f>
        <v>1</v>
      </c>
      <c r="AJ162" s="46" t="b" cm="1">
        <f t="array" ref="AJ162">ABS(adCrFi-adCrFiCalc)&lt;1</f>
        <v>1</v>
      </c>
      <c r="AK162" s="46" t="b" cm="1">
        <f t="array" ref="AK162">ABS(adCrFi-adCrFiCalc)&lt;1</f>
        <v>1</v>
      </c>
      <c r="AL162" s="46" t="b" cm="1">
        <f t="array" ref="AL162">ABS(adCrFi-adCrFiCalc)&lt;1</f>
        <v>1</v>
      </c>
      <c r="AM162" s="46" t="b" cm="1">
        <f t="array" ref="AM162">ABS(adCrFi-adCrFiCalc)&lt;1</f>
        <v>1</v>
      </c>
      <c r="AN162" s="46" t="b" cm="1">
        <f t="array" ref="AN162">ABS(adCrFi-adCrFiCalc)&lt;1</f>
        <v>1</v>
      </c>
      <c r="AO162" s="46" t="b" cm="1">
        <f t="array" ref="AO162">ABS(adCrFi-adCrFiCalc)&lt;1</f>
        <v>1</v>
      </c>
      <c r="AP162" s="46" t="b" cm="1">
        <f t="array" ref="AP162">ABS(adCrFi-adCrFiCalc)&lt;1</f>
        <v>1</v>
      </c>
      <c r="AQ162" s="46" t="b" cm="1">
        <f t="array" ref="AQ162">ABS(adCrFi-adCrFiCalc)&lt;1</f>
        <v>1</v>
      </c>
      <c r="AR162" s="46" t="b" cm="1">
        <f t="array" ref="AR162">ABS(adCrFi-adCrFiCalc)&lt;1</f>
        <v>1</v>
      </c>
      <c r="AS162" s="46" t="b" cm="1">
        <f t="array" ref="AS162">ABS(adCrFi-adCrFiCalc)&lt;1</f>
        <v>1</v>
      </c>
      <c r="AT162" s="46" t="b" cm="1">
        <f t="array" ref="AT162">ABS(adCrFi-adCrFiCalc)&lt;1</f>
        <v>1</v>
      </c>
      <c r="AU162" s="46" t="b" cm="1">
        <f t="array" ref="AU162">ABS(adCrFi-adCrFiCalc)&lt;1</f>
        <v>1</v>
      </c>
      <c r="AV162" s="46" t="b" cm="1">
        <f t="array" ref="AV162">ABS(adCrFi-adCrFiCalc)&lt;1</f>
        <v>1</v>
      </c>
      <c r="AW162" s="46" t="b" cm="1">
        <f t="array" ref="AW162">ABS(adCrFi-adCrFiCalc)&lt;1</f>
        <v>1</v>
      </c>
      <c r="AX162" s="46" t="b" cm="1">
        <f t="array" ref="AX162">ABS(adCrFi-adCrFiCalc)&lt;1</f>
        <v>1</v>
      </c>
      <c r="AY162" s="46" t="b" cm="1">
        <f t="array" ref="AY162">ABS(adCrFi-adCrFiCalc)&lt;1</f>
        <v>1</v>
      </c>
      <c r="AZ162" s="46" t="b" cm="1">
        <f t="array" ref="AZ162">ABS(adCrFi-adCrFiCalc)&lt;1</f>
        <v>1</v>
      </c>
      <c r="BA162" s="46" t="b" cm="1">
        <f t="array" ref="BA162">ABS(adCrFi-adCrFiCalc)&lt;1</f>
        <v>1</v>
      </c>
      <c r="BB162" s="46" t="b" cm="1">
        <f t="array" ref="BB162">ABS(adCrFi-adCrFiCalc)&lt;1</f>
        <v>1</v>
      </c>
    </row>
    <row r="163" spans="1:54" ht="16.5" x14ac:dyDescent="0.3">
      <c r="A163" s="16"/>
      <c r="B163" s="56"/>
      <c r="C163" s="61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</row>
    <row r="164" spans="1:54" ht="16.5" x14ac:dyDescent="0.3">
      <c r="A164" s="16"/>
      <c r="B164" s="56"/>
      <c r="C164" s="62" t="s">
        <v>133</v>
      </c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</row>
    <row r="165" spans="1:54" ht="16.5" x14ac:dyDescent="0.3">
      <c r="A165" s="16"/>
      <c r="B165" s="56"/>
      <c r="C165" s="59" t="s">
        <v>134</v>
      </c>
      <c r="D165" s="60">
        <f>D120</f>
        <v>0</v>
      </c>
      <c r="E165" s="60">
        <f>E120</f>
        <v>0</v>
      </c>
      <c r="F165" s="60">
        <f t="shared" ref="F165:BB165" si="54">F120</f>
        <v>0</v>
      </c>
      <c r="G165" s="60">
        <f t="shared" si="54"/>
        <v>0</v>
      </c>
      <c r="H165" s="60">
        <f t="shared" si="54"/>
        <v>0</v>
      </c>
      <c r="I165" s="60">
        <f t="shared" si="54"/>
        <v>0</v>
      </c>
      <c r="J165" s="60">
        <f t="shared" si="54"/>
        <v>0</v>
      </c>
      <c r="K165" s="60">
        <f t="shared" si="54"/>
        <v>0</v>
      </c>
      <c r="L165" s="60">
        <f t="shared" si="54"/>
        <v>0</v>
      </c>
      <c r="M165" s="60">
        <f t="shared" si="54"/>
        <v>0</v>
      </c>
      <c r="N165" s="60">
        <f t="shared" si="54"/>
        <v>0</v>
      </c>
      <c r="O165" s="60">
        <f t="shared" si="54"/>
        <v>0</v>
      </c>
      <c r="P165" s="60">
        <f t="shared" si="54"/>
        <v>0</v>
      </c>
      <c r="Q165" s="60">
        <f t="shared" si="54"/>
        <v>0</v>
      </c>
      <c r="R165" s="60">
        <f t="shared" si="54"/>
        <v>0</v>
      </c>
      <c r="S165" s="60">
        <f t="shared" si="54"/>
        <v>0</v>
      </c>
      <c r="T165" s="60">
        <f t="shared" si="54"/>
        <v>0</v>
      </c>
      <c r="U165" s="60">
        <f t="shared" si="54"/>
        <v>0</v>
      </c>
      <c r="V165" s="60">
        <f t="shared" si="54"/>
        <v>0</v>
      </c>
      <c r="W165" s="60">
        <f t="shared" si="54"/>
        <v>0</v>
      </c>
      <c r="X165" s="60">
        <f t="shared" si="54"/>
        <v>0</v>
      </c>
      <c r="Y165" s="60">
        <f t="shared" si="54"/>
        <v>0</v>
      </c>
      <c r="Z165" s="60">
        <f t="shared" si="54"/>
        <v>0</v>
      </c>
      <c r="AA165" s="60">
        <f t="shared" si="54"/>
        <v>0</v>
      </c>
      <c r="AB165" s="60">
        <f t="shared" si="54"/>
        <v>0</v>
      </c>
      <c r="AC165" s="60">
        <f t="shared" si="54"/>
        <v>0</v>
      </c>
      <c r="AD165" s="60">
        <f t="shared" si="54"/>
        <v>0</v>
      </c>
      <c r="AE165" s="60">
        <f t="shared" si="54"/>
        <v>0</v>
      </c>
      <c r="AF165" s="60">
        <f t="shared" si="54"/>
        <v>0</v>
      </c>
      <c r="AG165" s="60">
        <f t="shared" si="54"/>
        <v>0</v>
      </c>
      <c r="AH165" s="60">
        <f t="shared" si="54"/>
        <v>0</v>
      </c>
      <c r="AI165" s="60">
        <f t="shared" si="54"/>
        <v>0</v>
      </c>
      <c r="AJ165" s="60">
        <f t="shared" si="54"/>
        <v>0</v>
      </c>
      <c r="AK165" s="60">
        <f t="shared" si="54"/>
        <v>0</v>
      </c>
      <c r="AL165" s="60">
        <f t="shared" si="54"/>
        <v>0</v>
      </c>
      <c r="AM165" s="60">
        <f t="shared" si="54"/>
        <v>0</v>
      </c>
      <c r="AN165" s="60">
        <f t="shared" si="54"/>
        <v>0</v>
      </c>
      <c r="AO165" s="60">
        <f t="shared" si="54"/>
        <v>0</v>
      </c>
      <c r="AP165" s="60">
        <f t="shared" si="54"/>
        <v>0</v>
      </c>
      <c r="AQ165" s="60">
        <f t="shared" si="54"/>
        <v>0</v>
      </c>
      <c r="AR165" s="60">
        <f t="shared" si="54"/>
        <v>0</v>
      </c>
      <c r="AS165" s="60">
        <f t="shared" si="54"/>
        <v>0</v>
      </c>
      <c r="AT165" s="60">
        <f t="shared" si="54"/>
        <v>0</v>
      </c>
      <c r="AU165" s="60">
        <f t="shared" si="54"/>
        <v>0</v>
      </c>
      <c r="AV165" s="60">
        <f t="shared" si="54"/>
        <v>0</v>
      </c>
      <c r="AW165" s="60">
        <f t="shared" si="54"/>
        <v>0</v>
      </c>
      <c r="AX165" s="60">
        <f t="shared" si="54"/>
        <v>0</v>
      </c>
      <c r="AY165" s="60">
        <f t="shared" si="54"/>
        <v>0</v>
      </c>
      <c r="AZ165" s="60">
        <f t="shared" si="54"/>
        <v>0</v>
      </c>
      <c r="BA165" s="60">
        <f t="shared" si="54"/>
        <v>0</v>
      </c>
      <c r="BB165" s="60">
        <f t="shared" si="54"/>
        <v>0</v>
      </c>
    </row>
    <row r="166" spans="1:54" ht="16.5" x14ac:dyDescent="0.3">
      <c r="A166" s="16"/>
      <c r="B166" s="56"/>
      <c r="C166" s="59" t="s">
        <v>135</v>
      </c>
      <c r="D166" s="60"/>
      <c r="E166" s="60">
        <f>SUMIFS(PrdAdPassifEp!$AN:$AN,PrdAdPassifEp!$B:$B,adProjChocS2,PrdAdPassifEp!$C:$C,adProjScenario,PrdAdPassifEp!$D:$D,adProjIteration,PrdAdPassifEp!$E:$E,"3.AlmCr",PrdAdPassifEp!$G:$G,adProjCdCanton)</f>
        <v>0</v>
      </c>
      <c r="F166" s="60">
        <f>SUMIFS(PrdAdPassifEp!$AN:$AN,PrdAdPassifEp!$B:$B,adProjChocS2,PrdAdPassifEp!$C:$C,adProjScenario,PrdAdPassifEp!$D:$D,adProjIteration,PrdAdPassifEp!$E:$E,"3.AlmCr",PrdAdPassifEp!$G:$G,adProjCdCanton)</f>
        <v>0</v>
      </c>
      <c r="G166" s="60">
        <f>SUMIFS(PrdAdPassifEp!$AN:$AN,PrdAdPassifEp!$B:$B,adProjChocS2,PrdAdPassifEp!$C:$C,adProjScenario,PrdAdPassifEp!$D:$D,adProjIteration,PrdAdPassifEp!$E:$E,"3.AlmCr",PrdAdPassifEp!$G:$G,adProjCdCanton)</f>
        <v>0</v>
      </c>
      <c r="H166" s="60">
        <f>SUMIFS(PrdAdPassifEp!$AN:$AN,PrdAdPassifEp!$B:$B,adProjChocS2,PrdAdPassifEp!$C:$C,adProjScenario,PrdAdPassifEp!$D:$D,adProjIteration,PrdAdPassifEp!$E:$E,"3.AlmCr",PrdAdPassifEp!$G:$G,adProjCdCanton)</f>
        <v>0</v>
      </c>
      <c r="I166" s="60">
        <f>SUMIFS(PrdAdPassifEp!$AN:$AN,PrdAdPassifEp!$B:$B,adProjChocS2,PrdAdPassifEp!$C:$C,adProjScenario,PrdAdPassifEp!$D:$D,adProjIteration,PrdAdPassifEp!$E:$E,"3.AlmCr",PrdAdPassifEp!$G:$G,adProjCdCanton)</f>
        <v>0</v>
      </c>
      <c r="J166" s="60">
        <f>SUMIFS(PrdAdPassifEp!$AN:$AN,PrdAdPassifEp!$B:$B,adProjChocS2,PrdAdPassifEp!$C:$C,adProjScenario,PrdAdPassifEp!$D:$D,adProjIteration,PrdAdPassifEp!$E:$E,"3.AlmCr",PrdAdPassifEp!$G:$G,adProjCdCanton)</f>
        <v>0</v>
      </c>
      <c r="K166" s="60">
        <f>SUMIFS(PrdAdPassifEp!$AN:$AN,PrdAdPassifEp!$B:$B,adProjChocS2,PrdAdPassifEp!$C:$C,adProjScenario,PrdAdPassifEp!$D:$D,adProjIteration,PrdAdPassifEp!$E:$E,"3.AlmCr",PrdAdPassifEp!$G:$G,adProjCdCanton)</f>
        <v>0</v>
      </c>
      <c r="L166" s="60">
        <f>SUMIFS(PrdAdPassifEp!$AN:$AN,PrdAdPassifEp!$B:$B,adProjChocS2,PrdAdPassifEp!$C:$C,adProjScenario,PrdAdPassifEp!$D:$D,adProjIteration,PrdAdPassifEp!$E:$E,"3.AlmCr",PrdAdPassifEp!$G:$G,adProjCdCanton)</f>
        <v>0</v>
      </c>
      <c r="M166" s="60">
        <f>SUMIFS(PrdAdPassifEp!$AN:$AN,PrdAdPassifEp!$B:$B,adProjChocS2,PrdAdPassifEp!$C:$C,adProjScenario,PrdAdPassifEp!$D:$D,adProjIteration,PrdAdPassifEp!$E:$E,"3.AlmCr",PrdAdPassifEp!$G:$G,adProjCdCanton)</f>
        <v>0</v>
      </c>
      <c r="N166" s="60">
        <f>SUMIFS(PrdAdPassifEp!$AN:$AN,PrdAdPassifEp!$B:$B,adProjChocS2,PrdAdPassifEp!$C:$C,adProjScenario,PrdAdPassifEp!$D:$D,adProjIteration,PrdAdPassifEp!$E:$E,"3.AlmCr",PrdAdPassifEp!$G:$G,adProjCdCanton)</f>
        <v>0</v>
      </c>
      <c r="O166" s="60">
        <f>SUMIFS(PrdAdPassifEp!$AN:$AN,PrdAdPassifEp!$B:$B,adProjChocS2,PrdAdPassifEp!$C:$C,adProjScenario,PrdAdPassifEp!$D:$D,adProjIteration,PrdAdPassifEp!$E:$E,"3.AlmCr",PrdAdPassifEp!$G:$G,adProjCdCanton)</f>
        <v>0</v>
      </c>
      <c r="P166" s="60">
        <f>SUMIFS(PrdAdPassifEp!$AN:$AN,PrdAdPassifEp!$B:$B,adProjChocS2,PrdAdPassifEp!$C:$C,adProjScenario,PrdAdPassifEp!$D:$D,adProjIteration,PrdAdPassifEp!$E:$E,"3.AlmCr",PrdAdPassifEp!$G:$G,adProjCdCanton)</f>
        <v>0</v>
      </c>
      <c r="Q166" s="60">
        <f>SUMIFS(PrdAdPassifEp!$AN:$AN,PrdAdPassifEp!$B:$B,adProjChocS2,PrdAdPassifEp!$C:$C,adProjScenario,PrdAdPassifEp!$D:$D,adProjIteration,PrdAdPassifEp!$E:$E,"3.AlmCr",PrdAdPassifEp!$G:$G,adProjCdCanton)</f>
        <v>0</v>
      </c>
      <c r="R166" s="60">
        <f>SUMIFS(PrdAdPassifEp!$AN:$AN,PrdAdPassifEp!$B:$B,adProjChocS2,PrdAdPassifEp!$C:$C,adProjScenario,PrdAdPassifEp!$D:$D,adProjIteration,PrdAdPassifEp!$E:$E,"3.AlmCr",PrdAdPassifEp!$G:$G,adProjCdCanton)</f>
        <v>0</v>
      </c>
      <c r="S166" s="60">
        <f>SUMIFS(PrdAdPassifEp!$AN:$AN,PrdAdPassifEp!$B:$B,adProjChocS2,PrdAdPassifEp!$C:$C,adProjScenario,PrdAdPassifEp!$D:$D,adProjIteration,PrdAdPassifEp!$E:$E,"3.AlmCr",PrdAdPassifEp!$G:$G,adProjCdCanton)</f>
        <v>0</v>
      </c>
      <c r="T166" s="60">
        <f>SUMIFS(PrdAdPassifEp!$AN:$AN,PrdAdPassifEp!$B:$B,adProjChocS2,PrdAdPassifEp!$C:$C,adProjScenario,PrdAdPassifEp!$D:$D,adProjIteration,PrdAdPassifEp!$E:$E,"3.AlmCr",PrdAdPassifEp!$G:$G,adProjCdCanton)</f>
        <v>0</v>
      </c>
      <c r="U166" s="60">
        <f>SUMIFS(PrdAdPassifEp!$AN:$AN,PrdAdPassifEp!$B:$B,adProjChocS2,PrdAdPassifEp!$C:$C,adProjScenario,PrdAdPassifEp!$D:$D,adProjIteration,PrdAdPassifEp!$E:$E,"3.AlmCr",PrdAdPassifEp!$G:$G,adProjCdCanton)</f>
        <v>0</v>
      </c>
      <c r="V166" s="60">
        <f>SUMIFS(PrdAdPassifEp!$AN:$AN,PrdAdPassifEp!$B:$B,adProjChocS2,PrdAdPassifEp!$C:$C,adProjScenario,PrdAdPassifEp!$D:$D,adProjIteration,PrdAdPassifEp!$E:$E,"3.AlmCr",PrdAdPassifEp!$G:$G,adProjCdCanton)</f>
        <v>0</v>
      </c>
      <c r="W166" s="60">
        <f>SUMIFS(PrdAdPassifEp!$AN:$AN,PrdAdPassifEp!$B:$B,adProjChocS2,PrdAdPassifEp!$C:$C,adProjScenario,PrdAdPassifEp!$D:$D,adProjIteration,PrdAdPassifEp!$E:$E,"3.AlmCr",PrdAdPassifEp!$G:$G,adProjCdCanton)</f>
        <v>0</v>
      </c>
      <c r="X166" s="60">
        <f>SUMIFS(PrdAdPassifEp!$AN:$AN,PrdAdPassifEp!$B:$B,adProjChocS2,PrdAdPassifEp!$C:$C,adProjScenario,PrdAdPassifEp!$D:$D,adProjIteration,PrdAdPassifEp!$E:$E,"3.AlmCr",PrdAdPassifEp!$G:$G,adProjCdCanton)</f>
        <v>0</v>
      </c>
      <c r="Y166" s="60">
        <f>SUMIFS(PrdAdPassifEp!$AN:$AN,PrdAdPassifEp!$B:$B,adProjChocS2,PrdAdPassifEp!$C:$C,adProjScenario,PrdAdPassifEp!$D:$D,adProjIteration,PrdAdPassifEp!$E:$E,"3.AlmCr",PrdAdPassifEp!$G:$G,adProjCdCanton)</f>
        <v>0</v>
      </c>
      <c r="Z166" s="60">
        <f>SUMIFS(PrdAdPassifEp!$AN:$AN,PrdAdPassifEp!$B:$B,adProjChocS2,PrdAdPassifEp!$C:$C,adProjScenario,PrdAdPassifEp!$D:$D,adProjIteration,PrdAdPassifEp!$E:$E,"3.AlmCr",PrdAdPassifEp!$G:$G,adProjCdCanton)</f>
        <v>0</v>
      </c>
      <c r="AA166" s="60">
        <f>SUMIFS(PrdAdPassifEp!$AN:$AN,PrdAdPassifEp!$B:$B,adProjChocS2,PrdAdPassifEp!$C:$C,adProjScenario,PrdAdPassifEp!$D:$D,adProjIteration,PrdAdPassifEp!$E:$E,"3.AlmCr",PrdAdPassifEp!$G:$G,adProjCdCanton)</f>
        <v>0</v>
      </c>
      <c r="AB166" s="60">
        <f>SUMIFS(PrdAdPassifEp!$AN:$AN,PrdAdPassifEp!$B:$B,adProjChocS2,PrdAdPassifEp!$C:$C,adProjScenario,PrdAdPassifEp!$D:$D,adProjIteration,PrdAdPassifEp!$E:$E,"3.AlmCr",PrdAdPassifEp!$G:$G,adProjCdCanton)</f>
        <v>0</v>
      </c>
      <c r="AC166" s="60">
        <f>SUMIFS(PrdAdPassifEp!$AN:$AN,PrdAdPassifEp!$B:$B,adProjChocS2,PrdAdPassifEp!$C:$C,adProjScenario,PrdAdPassifEp!$D:$D,adProjIteration,PrdAdPassifEp!$E:$E,"3.AlmCr",PrdAdPassifEp!$G:$G,adProjCdCanton)</f>
        <v>0</v>
      </c>
      <c r="AD166" s="60">
        <f>SUMIFS(PrdAdPassifEp!$AN:$AN,PrdAdPassifEp!$B:$B,adProjChocS2,PrdAdPassifEp!$C:$C,adProjScenario,PrdAdPassifEp!$D:$D,adProjIteration,PrdAdPassifEp!$E:$E,"3.AlmCr",PrdAdPassifEp!$G:$G,adProjCdCanton)</f>
        <v>0</v>
      </c>
      <c r="AE166" s="60">
        <f>SUMIFS(PrdAdPassifEp!$AN:$AN,PrdAdPassifEp!$B:$B,adProjChocS2,PrdAdPassifEp!$C:$C,adProjScenario,PrdAdPassifEp!$D:$D,adProjIteration,PrdAdPassifEp!$E:$E,"3.AlmCr",PrdAdPassifEp!$G:$G,adProjCdCanton)</f>
        <v>0</v>
      </c>
      <c r="AF166" s="60">
        <f>SUMIFS(PrdAdPassifEp!$AN:$AN,PrdAdPassifEp!$B:$B,adProjChocS2,PrdAdPassifEp!$C:$C,adProjScenario,PrdAdPassifEp!$D:$D,adProjIteration,PrdAdPassifEp!$E:$E,"3.AlmCr",PrdAdPassifEp!$G:$G,adProjCdCanton)</f>
        <v>0</v>
      </c>
      <c r="AG166" s="60">
        <f>SUMIFS(PrdAdPassifEp!$AN:$AN,PrdAdPassifEp!$B:$B,adProjChocS2,PrdAdPassifEp!$C:$C,adProjScenario,PrdAdPassifEp!$D:$D,adProjIteration,PrdAdPassifEp!$E:$E,"3.AlmCr",PrdAdPassifEp!$G:$G,adProjCdCanton)</f>
        <v>0</v>
      </c>
      <c r="AH166" s="60">
        <f>SUMIFS(PrdAdPassifEp!$AN:$AN,PrdAdPassifEp!$B:$B,adProjChocS2,PrdAdPassifEp!$C:$C,adProjScenario,PrdAdPassifEp!$D:$D,adProjIteration,PrdAdPassifEp!$E:$E,"3.AlmCr",PrdAdPassifEp!$G:$G,adProjCdCanton)</f>
        <v>0</v>
      </c>
      <c r="AI166" s="60">
        <f>SUMIFS(PrdAdPassifEp!$AN:$AN,PrdAdPassifEp!$B:$B,adProjChocS2,PrdAdPassifEp!$C:$C,adProjScenario,PrdAdPassifEp!$D:$D,adProjIteration,PrdAdPassifEp!$E:$E,"3.AlmCr",PrdAdPassifEp!$G:$G,adProjCdCanton)</f>
        <v>0</v>
      </c>
      <c r="AJ166" s="60">
        <f>SUMIFS(PrdAdPassifEp!$AN:$AN,PrdAdPassifEp!$B:$B,adProjChocS2,PrdAdPassifEp!$C:$C,adProjScenario,PrdAdPassifEp!$D:$D,adProjIteration,PrdAdPassifEp!$E:$E,"3.AlmCr",PrdAdPassifEp!$G:$G,adProjCdCanton)</f>
        <v>0</v>
      </c>
      <c r="AK166" s="60">
        <f>SUMIFS(PrdAdPassifEp!$AN:$AN,PrdAdPassifEp!$B:$B,adProjChocS2,PrdAdPassifEp!$C:$C,adProjScenario,PrdAdPassifEp!$D:$D,adProjIteration,PrdAdPassifEp!$E:$E,"3.AlmCr",PrdAdPassifEp!$G:$G,adProjCdCanton)</f>
        <v>0</v>
      </c>
      <c r="AL166" s="60">
        <f>SUMIFS(PrdAdPassifEp!$AN:$AN,PrdAdPassifEp!$B:$B,adProjChocS2,PrdAdPassifEp!$C:$C,adProjScenario,PrdAdPassifEp!$D:$D,adProjIteration,PrdAdPassifEp!$E:$E,"3.AlmCr",PrdAdPassifEp!$G:$G,adProjCdCanton)</f>
        <v>0</v>
      </c>
      <c r="AM166" s="60">
        <f>SUMIFS(PrdAdPassifEp!$AN:$AN,PrdAdPassifEp!$B:$B,adProjChocS2,PrdAdPassifEp!$C:$C,adProjScenario,PrdAdPassifEp!$D:$D,adProjIteration,PrdAdPassifEp!$E:$E,"3.AlmCr",PrdAdPassifEp!$G:$G,adProjCdCanton)</f>
        <v>0</v>
      </c>
      <c r="AN166" s="60">
        <f>SUMIFS(PrdAdPassifEp!$AN:$AN,PrdAdPassifEp!$B:$B,adProjChocS2,PrdAdPassifEp!$C:$C,adProjScenario,PrdAdPassifEp!$D:$D,adProjIteration,PrdAdPassifEp!$E:$E,"3.AlmCr",PrdAdPassifEp!$G:$G,adProjCdCanton)</f>
        <v>0</v>
      </c>
      <c r="AO166" s="60">
        <f>SUMIFS(PrdAdPassifEp!$AN:$AN,PrdAdPassifEp!$B:$B,adProjChocS2,PrdAdPassifEp!$C:$C,adProjScenario,PrdAdPassifEp!$D:$D,adProjIteration,PrdAdPassifEp!$E:$E,"3.AlmCr",PrdAdPassifEp!$G:$G,adProjCdCanton)</f>
        <v>0</v>
      </c>
      <c r="AP166" s="60">
        <f>SUMIFS(PrdAdPassifEp!$AN:$AN,PrdAdPassifEp!$B:$B,adProjChocS2,PrdAdPassifEp!$C:$C,adProjScenario,PrdAdPassifEp!$D:$D,adProjIteration,PrdAdPassifEp!$E:$E,"3.AlmCr",PrdAdPassifEp!$G:$G,adProjCdCanton)</f>
        <v>0</v>
      </c>
      <c r="AQ166" s="60">
        <f>SUMIFS(PrdAdPassifEp!$AN:$AN,PrdAdPassifEp!$B:$B,adProjChocS2,PrdAdPassifEp!$C:$C,adProjScenario,PrdAdPassifEp!$D:$D,adProjIteration,PrdAdPassifEp!$E:$E,"3.AlmCr",PrdAdPassifEp!$G:$G,adProjCdCanton)</f>
        <v>0</v>
      </c>
      <c r="AR166" s="60">
        <f>SUMIFS(PrdAdPassifEp!$AN:$AN,PrdAdPassifEp!$B:$B,adProjChocS2,PrdAdPassifEp!$C:$C,adProjScenario,PrdAdPassifEp!$D:$D,adProjIteration,PrdAdPassifEp!$E:$E,"3.AlmCr",PrdAdPassifEp!$G:$G,adProjCdCanton)</f>
        <v>0</v>
      </c>
      <c r="AS166" s="60">
        <f>SUMIFS(PrdAdPassifEp!$AN:$AN,PrdAdPassifEp!$B:$B,adProjChocS2,PrdAdPassifEp!$C:$C,adProjScenario,PrdAdPassifEp!$D:$D,adProjIteration,PrdAdPassifEp!$E:$E,"3.AlmCr",PrdAdPassifEp!$G:$G,adProjCdCanton)</f>
        <v>0</v>
      </c>
      <c r="AT166" s="60">
        <f>SUMIFS(PrdAdPassifEp!$AN:$AN,PrdAdPassifEp!$B:$B,adProjChocS2,PrdAdPassifEp!$C:$C,adProjScenario,PrdAdPassifEp!$D:$D,adProjIteration,PrdAdPassifEp!$E:$E,"3.AlmCr",PrdAdPassifEp!$G:$G,adProjCdCanton)</f>
        <v>0</v>
      </c>
      <c r="AU166" s="60">
        <f>SUMIFS(PrdAdPassifEp!$AN:$AN,PrdAdPassifEp!$B:$B,adProjChocS2,PrdAdPassifEp!$C:$C,adProjScenario,PrdAdPassifEp!$D:$D,adProjIteration,PrdAdPassifEp!$E:$E,"3.AlmCr",PrdAdPassifEp!$G:$G,adProjCdCanton)</f>
        <v>0</v>
      </c>
      <c r="AV166" s="60">
        <f>SUMIFS(PrdAdPassifEp!$AN:$AN,PrdAdPassifEp!$B:$B,adProjChocS2,PrdAdPassifEp!$C:$C,adProjScenario,PrdAdPassifEp!$D:$D,adProjIteration,PrdAdPassifEp!$E:$E,"3.AlmCr",PrdAdPassifEp!$G:$G,adProjCdCanton)</f>
        <v>0</v>
      </c>
      <c r="AW166" s="60">
        <f>SUMIFS(PrdAdPassifEp!$AN:$AN,PrdAdPassifEp!$B:$B,adProjChocS2,PrdAdPassifEp!$C:$C,adProjScenario,PrdAdPassifEp!$D:$D,adProjIteration,PrdAdPassifEp!$E:$E,"3.AlmCr",PrdAdPassifEp!$G:$G,adProjCdCanton)</f>
        <v>0</v>
      </c>
      <c r="AX166" s="60">
        <f>SUMIFS(PrdAdPassifEp!$AN:$AN,PrdAdPassifEp!$B:$B,adProjChocS2,PrdAdPassifEp!$C:$C,adProjScenario,PrdAdPassifEp!$D:$D,adProjIteration,PrdAdPassifEp!$E:$E,"3.AlmCr",PrdAdPassifEp!$G:$G,adProjCdCanton)</f>
        <v>0</v>
      </c>
      <c r="AY166" s="60">
        <f>SUMIFS(PrdAdPassifEp!$AN:$AN,PrdAdPassifEp!$B:$B,adProjChocS2,PrdAdPassifEp!$C:$C,adProjScenario,PrdAdPassifEp!$D:$D,adProjIteration,PrdAdPassifEp!$E:$E,"3.AlmCr",PrdAdPassifEp!$G:$G,adProjCdCanton)</f>
        <v>0</v>
      </c>
      <c r="AZ166" s="60">
        <f>SUMIFS(PrdAdPassifEp!$AN:$AN,PrdAdPassifEp!$B:$B,adProjChocS2,PrdAdPassifEp!$C:$C,adProjScenario,PrdAdPassifEp!$D:$D,adProjIteration,PrdAdPassifEp!$E:$E,"3.AlmCr",PrdAdPassifEp!$G:$G,adProjCdCanton)</f>
        <v>0</v>
      </c>
      <c r="BA166" s="60">
        <f>SUMIFS(PrdAdPassifEp!$AN:$AN,PrdAdPassifEp!$B:$B,adProjChocS2,PrdAdPassifEp!$C:$C,adProjScenario,PrdAdPassifEp!$D:$D,adProjIteration,PrdAdPassifEp!$E:$E,"3.AlmCr",PrdAdPassifEp!$G:$G,adProjCdCanton)</f>
        <v>0</v>
      </c>
      <c r="BB166" s="60">
        <f>SUMIFS(PrdAdPassifEp!$AN:$AN,PrdAdPassifEp!$B:$B,adProjChocS2,PrdAdPassifEp!$C:$C,adProjScenario,PrdAdPassifEp!$D:$D,adProjIteration,PrdAdPassifEp!$E:$E,"3.AlmCr",PrdAdPassifEp!$G:$G,adProjCdCanton)</f>
        <v>0</v>
      </c>
    </row>
    <row r="167" spans="1:54" ht="16.5" x14ac:dyDescent="0.3">
      <c r="A167" s="16"/>
      <c r="B167" s="56"/>
      <c r="C167" s="59" t="s">
        <v>136</v>
      </c>
      <c r="D167" s="60">
        <f>D122</f>
        <v>0</v>
      </c>
      <c r="E167" s="60">
        <f>E122</f>
        <v>0</v>
      </c>
      <c r="F167" s="60">
        <f t="shared" ref="F167:BB167" si="55">F122</f>
        <v>0</v>
      </c>
      <c r="G167" s="60">
        <f t="shared" si="55"/>
        <v>0</v>
      </c>
      <c r="H167" s="60">
        <f t="shared" si="55"/>
        <v>0</v>
      </c>
      <c r="I167" s="60">
        <f t="shared" si="55"/>
        <v>0</v>
      </c>
      <c r="J167" s="60">
        <f t="shared" si="55"/>
        <v>0</v>
      </c>
      <c r="K167" s="60">
        <f t="shared" si="55"/>
        <v>0</v>
      </c>
      <c r="L167" s="60">
        <f t="shared" si="55"/>
        <v>0</v>
      </c>
      <c r="M167" s="60">
        <f t="shared" si="55"/>
        <v>0</v>
      </c>
      <c r="N167" s="60">
        <f t="shared" si="55"/>
        <v>0</v>
      </c>
      <c r="O167" s="60">
        <f t="shared" si="55"/>
        <v>0</v>
      </c>
      <c r="P167" s="60">
        <f t="shared" si="55"/>
        <v>0</v>
      </c>
      <c r="Q167" s="60">
        <f t="shared" si="55"/>
        <v>0</v>
      </c>
      <c r="R167" s="60">
        <f t="shared" si="55"/>
        <v>0</v>
      </c>
      <c r="S167" s="60">
        <f t="shared" si="55"/>
        <v>0</v>
      </c>
      <c r="T167" s="60">
        <f t="shared" si="55"/>
        <v>0</v>
      </c>
      <c r="U167" s="60">
        <f t="shared" si="55"/>
        <v>0</v>
      </c>
      <c r="V167" s="60">
        <f t="shared" si="55"/>
        <v>0</v>
      </c>
      <c r="W167" s="60">
        <f t="shared" si="55"/>
        <v>0</v>
      </c>
      <c r="X167" s="60">
        <f t="shared" si="55"/>
        <v>0</v>
      </c>
      <c r="Y167" s="60">
        <f t="shared" si="55"/>
        <v>0</v>
      </c>
      <c r="Z167" s="60">
        <f t="shared" si="55"/>
        <v>0</v>
      </c>
      <c r="AA167" s="60">
        <f t="shared" si="55"/>
        <v>0</v>
      </c>
      <c r="AB167" s="60">
        <f t="shared" si="55"/>
        <v>0</v>
      </c>
      <c r="AC167" s="60">
        <f t="shared" si="55"/>
        <v>0</v>
      </c>
      <c r="AD167" s="60">
        <f t="shared" si="55"/>
        <v>0</v>
      </c>
      <c r="AE167" s="60">
        <f t="shared" si="55"/>
        <v>0</v>
      </c>
      <c r="AF167" s="60">
        <f t="shared" si="55"/>
        <v>0</v>
      </c>
      <c r="AG167" s="60">
        <f t="shared" si="55"/>
        <v>0</v>
      </c>
      <c r="AH167" s="60">
        <f t="shared" si="55"/>
        <v>0</v>
      </c>
      <c r="AI167" s="60">
        <f t="shared" si="55"/>
        <v>0</v>
      </c>
      <c r="AJ167" s="60">
        <f t="shared" si="55"/>
        <v>0</v>
      </c>
      <c r="AK167" s="60">
        <f t="shared" si="55"/>
        <v>0</v>
      </c>
      <c r="AL167" s="60">
        <f t="shared" si="55"/>
        <v>0</v>
      </c>
      <c r="AM167" s="60">
        <f t="shared" si="55"/>
        <v>0</v>
      </c>
      <c r="AN167" s="60">
        <f t="shared" si="55"/>
        <v>0</v>
      </c>
      <c r="AO167" s="60">
        <f t="shared" si="55"/>
        <v>0</v>
      </c>
      <c r="AP167" s="60">
        <f t="shared" si="55"/>
        <v>0</v>
      </c>
      <c r="AQ167" s="60">
        <f t="shared" si="55"/>
        <v>0</v>
      </c>
      <c r="AR167" s="60">
        <f t="shared" si="55"/>
        <v>0</v>
      </c>
      <c r="AS167" s="60">
        <f t="shared" si="55"/>
        <v>0</v>
      </c>
      <c r="AT167" s="60">
        <f t="shared" si="55"/>
        <v>0</v>
      </c>
      <c r="AU167" s="60">
        <f t="shared" si="55"/>
        <v>0</v>
      </c>
      <c r="AV167" s="60">
        <f t="shared" si="55"/>
        <v>0</v>
      </c>
      <c r="AW167" s="60">
        <f t="shared" si="55"/>
        <v>0</v>
      </c>
      <c r="AX167" s="60">
        <f t="shared" si="55"/>
        <v>0</v>
      </c>
      <c r="AY167" s="60">
        <f t="shared" si="55"/>
        <v>0</v>
      </c>
      <c r="AZ167" s="60">
        <f t="shared" si="55"/>
        <v>0</v>
      </c>
      <c r="BA167" s="60">
        <f t="shared" si="55"/>
        <v>0</v>
      </c>
      <c r="BB167" s="60">
        <f t="shared" si="55"/>
        <v>0</v>
      </c>
    </row>
    <row r="168" spans="1:54" ht="16.5" x14ac:dyDescent="0.3">
      <c r="A168" s="16"/>
      <c r="B168" s="56"/>
      <c r="C168" s="65" t="s">
        <v>137</v>
      </c>
      <c r="D168" s="60"/>
      <c r="E168" s="43" t="e">
        <f>(E165+E167)/E166</f>
        <v>#DIV/0!</v>
      </c>
      <c r="F168" s="43" t="e">
        <f t="shared" ref="F168:BB168" si="56">(F165+F167)/F166</f>
        <v>#DIV/0!</v>
      </c>
      <c r="G168" s="43" t="e">
        <f t="shared" si="56"/>
        <v>#DIV/0!</v>
      </c>
      <c r="H168" s="43" t="e">
        <f t="shared" si="56"/>
        <v>#DIV/0!</v>
      </c>
      <c r="I168" s="43" t="e">
        <f t="shared" si="56"/>
        <v>#DIV/0!</v>
      </c>
      <c r="J168" s="43" t="e">
        <f t="shared" si="56"/>
        <v>#DIV/0!</v>
      </c>
      <c r="K168" s="43" t="e">
        <f t="shared" si="56"/>
        <v>#DIV/0!</v>
      </c>
      <c r="L168" s="43" t="e">
        <f t="shared" si="56"/>
        <v>#DIV/0!</v>
      </c>
      <c r="M168" s="43" t="e">
        <f t="shared" si="56"/>
        <v>#DIV/0!</v>
      </c>
      <c r="N168" s="43" t="e">
        <f t="shared" si="56"/>
        <v>#DIV/0!</v>
      </c>
      <c r="O168" s="43" t="e">
        <f t="shared" si="56"/>
        <v>#DIV/0!</v>
      </c>
      <c r="P168" s="43" t="e">
        <f t="shared" si="56"/>
        <v>#DIV/0!</v>
      </c>
      <c r="Q168" s="43" t="e">
        <f t="shared" si="56"/>
        <v>#DIV/0!</v>
      </c>
      <c r="R168" s="43" t="e">
        <f t="shared" si="56"/>
        <v>#DIV/0!</v>
      </c>
      <c r="S168" s="43" t="e">
        <f t="shared" si="56"/>
        <v>#DIV/0!</v>
      </c>
      <c r="T168" s="43" t="e">
        <f t="shared" si="56"/>
        <v>#DIV/0!</v>
      </c>
      <c r="U168" s="43" t="e">
        <f t="shared" si="56"/>
        <v>#DIV/0!</v>
      </c>
      <c r="V168" s="43" t="e">
        <f t="shared" si="56"/>
        <v>#DIV/0!</v>
      </c>
      <c r="W168" s="43" t="e">
        <f t="shared" si="56"/>
        <v>#DIV/0!</v>
      </c>
      <c r="X168" s="43" t="e">
        <f t="shared" si="56"/>
        <v>#DIV/0!</v>
      </c>
      <c r="Y168" s="43" t="e">
        <f t="shared" si="56"/>
        <v>#DIV/0!</v>
      </c>
      <c r="Z168" s="43" t="e">
        <f t="shared" si="56"/>
        <v>#DIV/0!</v>
      </c>
      <c r="AA168" s="43" t="e">
        <f t="shared" si="56"/>
        <v>#DIV/0!</v>
      </c>
      <c r="AB168" s="43" t="e">
        <f t="shared" si="56"/>
        <v>#DIV/0!</v>
      </c>
      <c r="AC168" s="43" t="e">
        <f t="shared" si="56"/>
        <v>#DIV/0!</v>
      </c>
      <c r="AD168" s="43" t="e">
        <f t="shared" si="56"/>
        <v>#DIV/0!</v>
      </c>
      <c r="AE168" s="43" t="e">
        <f t="shared" si="56"/>
        <v>#DIV/0!</v>
      </c>
      <c r="AF168" s="43" t="e">
        <f t="shared" si="56"/>
        <v>#DIV/0!</v>
      </c>
      <c r="AG168" s="43" t="e">
        <f t="shared" si="56"/>
        <v>#DIV/0!</v>
      </c>
      <c r="AH168" s="43" t="e">
        <f t="shared" si="56"/>
        <v>#DIV/0!</v>
      </c>
      <c r="AI168" s="43" t="e">
        <f t="shared" si="56"/>
        <v>#DIV/0!</v>
      </c>
      <c r="AJ168" s="43" t="e">
        <f t="shared" si="56"/>
        <v>#DIV/0!</v>
      </c>
      <c r="AK168" s="43" t="e">
        <f t="shared" si="56"/>
        <v>#DIV/0!</v>
      </c>
      <c r="AL168" s="43" t="e">
        <f t="shared" si="56"/>
        <v>#DIV/0!</v>
      </c>
      <c r="AM168" s="43" t="e">
        <f t="shared" si="56"/>
        <v>#DIV/0!</v>
      </c>
      <c r="AN168" s="43" t="e">
        <f t="shared" si="56"/>
        <v>#DIV/0!</v>
      </c>
      <c r="AO168" s="43" t="e">
        <f t="shared" si="56"/>
        <v>#DIV/0!</v>
      </c>
      <c r="AP168" s="43" t="e">
        <f t="shared" si="56"/>
        <v>#DIV/0!</v>
      </c>
      <c r="AQ168" s="43" t="e">
        <f t="shared" si="56"/>
        <v>#DIV/0!</v>
      </c>
      <c r="AR168" s="43" t="e">
        <f t="shared" si="56"/>
        <v>#DIV/0!</v>
      </c>
      <c r="AS168" s="43" t="e">
        <f t="shared" si="56"/>
        <v>#DIV/0!</v>
      </c>
      <c r="AT168" s="43" t="e">
        <f t="shared" si="56"/>
        <v>#DIV/0!</v>
      </c>
      <c r="AU168" s="43" t="e">
        <f t="shared" si="56"/>
        <v>#DIV/0!</v>
      </c>
      <c r="AV168" s="43" t="e">
        <f t="shared" si="56"/>
        <v>#DIV/0!</v>
      </c>
      <c r="AW168" s="43" t="e">
        <f t="shared" si="56"/>
        <v>#DIV/0!</v>
      </c>
      <c r="AX168" s="43" t="e">
        <f t="shared" si="56"/>
        <v>#DIV/0!</v>
      </c>
      <c r="AY168" s="43" t="e">
        <f t="shared" si="56"/>
        <v>#DIV/0!</v>
      </c>
      <c r="AZ168" s="43" t="e">
        <f t="shared" si="56"/>
        <v>#DIV/0!</v>
      </c>
      <c r="BA168" s="43" t="e">
        <f t="shared" si="56"/>
        <v>#DIV/0!</v>
      </c>
      <c r="BB168" s="43" t="e">
        <f t="shared" si="56"/>
        <v>#DIV/0!</v>
      </c>
    </row>
    <row r="169" spans="1:54" ht="16.5" x14ac:dyDescent="0.3">
      <c r="A169" s="16"/>
      <c r="B169" s="56"/>
      <c r="C169" s="59" t="s">
        <v>138</v>
      </c>
      <c r="D169" s="60"/>
      <c r="E169" s="60">
        <f t="shared" ref="E169:AJ169" si="57">IF(adProjIteration&lt;=adProjHorizon,adBilanPpb-adBilanPpbPrec,0)</f>
        <v>0</v>
      </c>
      <c r="F169" s="60">
        <f t="shared" si="57"/>
        <v>0</v>
      </c>
      <c r="G169" s="60">
        <f t="shared" si="57"/>
        <v>0</v>
      </c>
      <c r="H169" s="60">
        <f t="shared" si="57"/>
        <v>0</v>
      </c>
      <c r="I169" s="60">
        <f t="shared" si="57"/>
        <v>0</v>
      </c>
      <c r="J169" s="60">
        <f t="shared" si="57"/>
        <v>0</v>
      </c>
      <c r="K169" s="60">
        <f t="shared" si="57"/>
        <v>0</v>
      </c>
      <c r="L169" s="60">
        <f t="shared" si="57"/>
        <v>0</v>
      </c>
      <c r="M169" s="60">
        <f t="shared" si="57"/>
        <v>0</v>
      </c>
      <c r="N169" s="60">
        <f t="shared" si="57"/>
        <v>0</v>
      </c>
      <c r="O169" s="60">
        <f t="shared" si="57"/>
        <v>0</v>
      </c>
      <c r="P169" s="60">
        <f t="shared" si="57"/>
        <v>0</v>
      </c>
      <c r="Q169" s="60">
        <f t="shared" si="57"/>
        <v>0</v>
      </c>
      <c r="R169" s="60">
        <f t="shared" si="57"/>
        <v>0</v>
      </c>
      <c r="S169" s="60">
        <f t="shared" si="57"/>
        <v>0</v>
      </c>
      <c r="T169" s="60">
        <f t="shared" si="57"/>
        <v>0</v>
      </c>
      <c r="U169" s="60">
        <f t="shared" si="57"/>
        <v>0</v>
      </c>
      <c r="V169" s="60">
        <f t="shared" si="57"/>
        <v>0</v>
      </c>
      <c r="W169" s="60">
        <f t="shared" si="57"/>
        <v>0</v>
      </c>
      <c r="X169" s="60">
        <f t="shared" si="57"/>
        <v>0</v>
      </c>
      <c r="Y169" s="60">
        <f t="shared" si="57"/>
        <v>0</v>
      </c>
      <c r="Z169" s="60">
        <f t="shared" si="57"/>
        <v>0</v>
      </c>
      <c r="AA169" s="60">
        <f t="shared" si="57"/>
        <v>0</v>
      </c>
      <c r="AB169" s="60">
        <f t="shared" si="57"/>
        <v>0</v>
      </c>
      <c r="AC169" s="60">
        <f t="shared" si="57"/>
        <v>0</v>
      </c>
      <c r="AD169" s="60">
        <f t="shared" si="57"/>
        <v>0</v>
      </c>
      <c r="AE169" s="60">
        <f t="shared" si="57"/>
        <v>0</v>
      </c>
      <c r="AF169" s="60">
        <f t="shared" si="57"/>
        <v>0</v>
      </c>
      <c r="AG169" s="60">
        <f t="shared" si="57"/>
        <v>0</v>
      </c>
      <c r="AH169" s="60">
        <f t="shared" si="57"/>
        <v>0</v>
      </c>
      <c r="AI169" s="60">
        <f t="shared" si="57"/>
        <v>0</v>
      </c>
      <c r="AJ169" s="60">
        <f t="shared" si="57"/>
        <v>0</v>
      </c>
      <c r="AK169" s="60">
        <f t="shared" ref="AK169:BB169" si="58">IF(adProjIteration&lt;=adProjHorizon,adBilanPpb-adBilanPpbPrec,0)</f>
        <v>0</v>
      </c>
      <c r="AL169" s="60">
        <f t="shared" si="58"/>
        <v>0</v>
      </c>
      <c r="AM169" s="60">
        <f t="shared" si="58"/>
        <v>0</v>
      </c>
      <c r="AN169" s="60">
        <f t="shared" si="58"/>
        <v>0</v>
      </c>
      <c r="AO169" s="60">
        <f t="shared" si="58"/>
        <v>0</v>
      </c>
      <c r="AP169" s="60">
        <f t="shared" si="58"/>
        <v>0</v>
      </c>
      <c r="AQ169" s="60">
        <f t="shared" si="58"/>
        <v>0</v>
      </c>
      <c r="AR169" s="60">
        <f t="shared" si="58"/>
        <v>0</v>
      </c>
      <c r="AS169" s="60">
        <f t="shared" si="58"/>
        <v>0</v>
      </c>
      <c r="AT169" s="60">
        <f t="shared" si="58"/>
        <v>0</v>
      </c>
      <c r="AU169" s="60">
        <f t="shared" si="58"/>
        <v>0</v>
      </c>
      <c r="AV169" s="60">
        <f t="shared" si="58"/>
        <v>0</v>
      </c>
      <c r="AW169" s="60">
        <f t="shared" si="58"/>
        <v>0</v>
      </c>
      <c r="AX169" s="60">
        <f t="shared" si="58"/>
        <v>0</v>
      </c>
      <c r="AY169" s="60">
        <f t="shared" si="58"/>
        <v>0</v>
      </c>
      <c r="AZ169" s="60">
        <f t="shared" si="58"/>
        <v>0</v>
      </c>
      <c r="BA169" s="60">
        <f t="shared" si="58"/>
        <v>0</v>
      </c>
      <c r="BB169" s="60">
        <f t="shared" si="58"/>
        <v>0</v>
      </c>
    </row>
    <row r="170" spans="1:54" ht="16.5" x14ac:dyDescent="0.3">
      <c r="A170" s="16"/>
      <c r="B170" s="56"/>
      <c r="C170" s="59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</row>
    <row r="171" spans="1:54" ht="16.5" x14ac:dyDescent="0.3">
      <c r="A171" s="16"/>
      <c r="B171" s="56"/>
      <c r="C171" s="59" t="s">
        <v>139</v>
      </c>
      <c r="D171" s="60"/>
      <c r="E171" s="60">
        <f>SUMIFS(#REF!,#REF!,adProjChocS2,#REF!,adProjScenario,#REF!,adProjIteration,#REF!,adProjCdCanton)</f>
        <v>0</v>
      </c>
      <c r="F171" s="60">
        <f>SUMIFS(#REF!,#REF!,adProjChocS2,#REF!,adProjScenario,#REF!,adProjIteration,#REF!,adProjCdCanton)</f>
        <v>0</v>
      </c>
      <c r="G171" s="60">
        <f>SUMIFS(#REF!,#REF!,adProjChocS2,#REF!,adProjScenario,#REF!,adProjIteration,#REF!,adProjCdCanton)</f>
        <v>0</v>
      </c>
      <c r="H171" s="60">
        <f>SUMIFS(#REF!,#REF!,adProjChocS2,#REF!,adProjScenario,#REF!,adProjIteration,#REF!,adProjCdCanton)</f>
        <v>0</v>
      </c>
      <c r="I171" s="60">
        <f>SUMIFS(#REF!,#REF!,adProjChocS2,#REF!,adProjScenario,#REF!,adProjIteration,#REF!,adProjCdCanton)</f>
        <v>0</v>
      </c>
      <c r="J171" s="60">
        <f>SUMIFS(#REF!,#REF!,adProjChocS2,#REF!,adProjScenario,#REF!,adProjIteration,#REF!,adProjCdCanton)</f>
        <v>0</v>
      </c>
      <c r="K171" s="60">
        <f>SUMIFS(#REF!,#REF!,adProjChocS2,#REF!,adProjScenario,#REF!,adProjIteration,#REF!,adProjCdCanton)</f>
        <v>0</v>
      </c>
      <c r="L171" s="60">
        <f>SUMIFS(#REF!,#REF!,adProjChocS2,#REF!,adProjScenario,#REF!,adProjIteration,#REF!,adProjCdCanton)</f>
        <v>0</v>
      </c>
      <c r="M171" s="60">
        <f>SUMIFS(#REF!,#REF!,adProjChocS2,#REF!,adProjScenario,#REF!,adProjIteration,#REF!,adProjCdCanton)</f>
        <v>0</v>
      </c>
      <c r="N171" s="60">
        <f>SUMIFS(#REF!,#REF!,adProjChocS2,#REF!,adProjScenario,#REF!,adProjIteration,#REF!,adProjCdCanton)</f>
        <v>0</v>
      </c>
      <c r="O171" s="60">
        <f>SUMIFS(#REF!,#REF!,adProjChocS2,#REF!,adProjScenario,#REF!,adProjIteration,#REF!,adProjCdCanton)</f>
        <v>0</v>
      </c>
      <c r="P171" s="60">
        <f>SUMIFS(#REF!,#REF!,adProjChocS2,#REF!,adProjScenario,#REF!,adProjIteration,#REF!,adProjCdCanton)</f>
        <v>0</v>
      </c>
      <c r="Q171" s="60">
        <f>SUMIFS(#REF!,#REF!,adProjChocS2,#REF!,adProjScenario,#REF!,adProjIteration,#REF!,adProjCdCanton)</f>
        <v>0</v>
      </c>
      <c r="R171" s="60">
        <f>SUMIFS(#REF!,#REF!,adProjChocS2,#REF!,adProjScenario,#REF!,adProjIteration,#REF!,adProjCdCanton)</f>
        <v>0</v>
      </c>
      <c r="S171" s="60">
        <f>SUMIFS(#REF!,#REF!,adProjChocS2,#REF!,adProjScenario,#REF!,adProjIteration,#REF!,adProjCdCanton)</f>
        <v>0</v>
      </c>
      <c r="T171" s="60">
        <f>SUMIFS(#REF!,#REF!,adProjChocS2,#REF!,adProjScenario,#REF!,adProjIteration,#REF!,adProjCdCanton)</f>
        <v>0</v>
      </c>
      <c r="U171" s="60">
        <f>SUMIFS(#REF!,#REF!,adProjChocS2,#REF!,adProjScenario,#REF!,adProjIteration,#REF!,adProjCdCanton)</f>
        <v>0</v>
      </c>
      <c r="V171" s="60">
        <f>SUMIFS(#REF!,#REF!,adProjChocS2,#REF!,adProjScenario,#REF!,adProjIteration,#REF!,adProjCdCanton)</f>
        <v>0</v>
      </c>
      <c r="W171" s="60">
        <f>SUMIFS(#REF!,#REF!,adProjChocS2,#REF!,adProjScenario,#REF!,adProjIteration,#REF!,adProjCdCanton)</f>
        <v>0</v>
      </c>
      <c r="X171" s="60">
        <f>SUMIFS(#REF!,#REF!,adProjChocS2,#REF!,adProjScenario,#REF!,adProjIteration,#REF!,adProjCdCanton)</f>
        <v>0</v>
      </c>
      <c r="Y171" s="60">
        <f>SUMIFS(#REF!,#REF!,adProjChocS2,#REF!,adProjScenario,#REF!,adProjIteration,#REF!,adProjCdCanton)</f>
        <v>0</v>
      </c>
      <c r="Z171" s="60">
        <f>SUMIFS(#REF!,#REF!,adProjChocS2,#REF!,adProjScenario,#REF!,adProjIteration,#REF!,adProjCdCanton)</f>
        <v>0</v>
      </c>
      <c r="AA171" s="60">
        <f>SUMIFS(#REF!,#REF!,adProjChocS2,#REF!,adProjScenario,#REF!,adProjIteration,#REF!,adProjCdCanton)</f>
        <v>0</v>
      </c>
      <c r="AB171" s="60">
        <f>SUMIFS(#REF!,#REF!,adProjChocS2,#REF!,adProjScenario,#REF!,adProjIteration,#REF!,adProjCdCanton)</f>
        <v>0</v>
      </c>
      <c r="AC171" s="60">
        <f>SUMIFS(#REF!,#REF!,adProjChocS2,#REF!,adProjScenario,#REF!,adProjIteration,#REF!,adProjCdCanton)</f>
        <v>0</v>
      </c>
      <c r="AD171" s="60">
        <f>SUMIFS(#REF!,#REF!,adProjChocS2,#REF!,adProjScenario,#REF!,adProjIteration,#REF!,adProjCdCanton)</f>
        <v>0</v>
      </c>
      <c r="AE171" s="60">
        <f>SUMIFS(#REF!,#REF!,adProjChocS2,#REF!,adProjScenario,#REF!,adProjIteration,#REF!,adProjCdCanton)</f>
        <v>0</v>
      </c>
      <c r="AF171" s="60">
        <f>SUMIFS(#REF!,#REF!,adProjChocS2,#REF!,adProjScenario,#REF!,adProjIteration,#REF!,adProjCdCanton)</f>
        <v>0</v>
      </c>
      <c r="AG171" s="60">
        <f>SUMIFS(#REF!,#REF!,adProjChocS2,#REF!,adProjScenario,#REF!,adProjIteration,#REF!,adProjCdCanton)</f>
        <v>0</v>
      </c>
      <c r="AH171" s="60">
        <f>SUMIFS(#REF!,#REF!,adProjChocS2,#REF!,adProjScenario,#REF!,adProjIteration,#REF!,adProjCdCanton)</f>
        <v>0</v>
      </c>
      <c r="AI171" s="60">
        <f>SUMIFS(#REF!,#REF!,adProjChocS2,#REF!,adProjScenario,#REF!,adProjIteration,#REF!,adProjCdCanton)</f>
        <v>0</v>
      </c>
      <c r="AJ171" s="60">
        <f>SUMIFS(#REF!,#REF!,adProjChocS2,#REF!,adProjScenario,#REF!,adProjIteration,#REF!,adProjCdCanton)</f>
        <v>0</v>
      </c>
      <c r="AK171" s="60">
        <f>SUMIFS(#REF!,#REF!,adProjChocS2,#REF!,adProjScenario,#REF!,adProjIteration,#REF!,adProjCdCanton)</f>
        <v>0</v>
      </c>
      <c r="AL171" s="60">
        <f>SUMIFS(#REF!,#REF!,adProjChocS2,#REF!,adProjScenario,#REF!,adProjIteration,#REF!,adProjCdCanton)</f>
        <v>0</v>
      </c>
      <c r="AM171" s="60">
        <f>SUMIFS(#REF!,#REF!,adProjChocS2,#REF!,adProjScenario,#REF!,adProjIteration,#REF!,adProjCdCanton)</f>
        <v>0</v>
      </c>
      <c r="AN171" s="60">
        <f>SUMIFS(#REF!,#REF!,adProjChocS2,#REF!,adProjScenario,#REF!,adProjIteration,#REF!,adProjCdCanton)</f>
        <v>0</v>
      </c>
      <c r="AO171" s="60">
        <f>SUMIFS(#REF!,#REF!,adProjChocS2,#REF!,adProjScenario,#REF!,adProjIteration,#REF!,adProjCdCanton)</f>
        <v>0</v>
      </c>
      <c r="AP171" s="60">
        <f>SUMIFS(#REF!,#REF!,adProjChocS2,#REF!,adProjScenario,#REF!,adProjIteration,#REF!,adProjCdCanton)</f>
        <v>0</v>
      </c>
      <c r="AQ171" s="60">
        <f>SUMIFS(#REF!,#REF!,adProjChocS2,#REF!,adProjScenario,#REF!,adProjIteration,#REF!,adProjCdCanton)</f>
        <v>0</v>
      </c>
      <c r="AR171" s="60">
        <f>SUMIFS(#REF!,#REF!,adProjChocS2,#REF!,adProjScenario,#REF!,adProjIteration,#REF!,adProjCdCanton)</f>
        <v>0</v>
      </c>
      <c r="AS171" s="60">
        <f>SUMIFS(#REF!,#REF!,adProjChocS2,#REF!,adProjScenario,#REF!,adProjIteration,#REF!,adProjCdCanton)</f>
        <v>0</v>
      </c>
      <c r="AT171" s="60">
        <f>SUMIFS(#REF!,#REF!,adProjChocS2,#REF!,adProjScenario,#REF!,adProjIteration,#REF!,adProjCdCanton)</f>
        <v>0</v>
      </c>
      <c r="AU171" s="60">
        <f>SUMIFS(#REF!,#REF!,adProjChocS2,#REF!,adProjScenario,#REF!,adProjIteration,#REF!,adProjCdCanton)</f>
        <v>0</v>
      </c>
      <c r="AV171" s="60">
        <f>SUMIFS(#REF!,#REF!,adProjChocS2,#REF!,adProjScenario,#REF!,adProjIteration,#REF!,adProjCdCanton)</f>
        <v>0</v>
      </c>
      <c r="AW171" s="60">
        <f>SUMIFS(#REF!,#REF!,adProjChocS2,#REF!,adProjScenario,#REF!,adProjIteration,#REF!,adProjCdCanton)</f>
        <v>0</v>
      </c>
      <c r="AX171" s="60">
        <f>SUMIFS(#REF!,#REF!,adProjChocS2,#REF!,adProjScenario,#REF!,adProjIteration,#REF!,adProjCdCanton)</f>
        <v>0</v>
      </c>
      <c r="AY171" s="60">
        <f>SUMIFS(#REF!,#REF!,adProjChocS2,#REF!,adProjScenario,#REF!,adProjIteration,#REF!,adProjCdCanton)</f>
        <v>0</v>
      </c>
      <c r="AZ171" s="60">
        <f>SUMIFS(#REF!,#REF!,adProjChocS2,#REF!,adProjScenario,#REF!,adProjIteration,#REF!,adProjCdCanton)</f>
        <v>0</v>
      </c>
      <c r="BA171" s="60">
        <f>SUMIFS(#REF!,#REF!,adProjChocS2,#REF!,adProjScenario,#REF!,adProjIteration,#REF!,adProjCdCanton)</f>
        <v>0</v>
      </c>
      <c r="BB171" s="60">
        <f>SUMIFS(#REF!,#REF!,adProjChocS2,#REF!,adProjScenario,#REF!,adProjIteration,#REF!,adProjCdCanton)</f>
        <v>0</v>
      </c>
    </row>
    <row r="172" spans="1:54" ht="16.5" x14ac:dyDescent="0.3">
      <c r="A172" s="16"/>
      <c r="B172" s="56"/>
      <c r="C172" s="59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</row>
    <row r="173" spans="1:54" ht="16.5" x14ac:dyDescent="0.3">
      <c r="A173" s="16"/>
      <c r="B173" s="56"/>
      <c r="C173" s="59" t="s">
        <v>140</v>
      </c>
      <c r="D173" s="60"/>
      <c r="E173" s="60">
        <f t="shared" ref="E173:AJ173" si="59">IF(adProjIteration&lt;=adProjHorizon, adReportPertesPrec,0)</f>
        <v>0</v>
      </c>
      <c r="F173" s="60">
        <f t="shared" si="59"/>
        <v>0</v>
      </c>
      <c r="G173" s="60">
        <f t="shared" si="59"/>
        <v>0</v>
      </c>
      <c r="H173" s="60">
        <f t="shared" si="59"/>
        <v>0</v>
      </c>
      <c r="I173" s="60">
        <f t="shared" si="59"/>
        <v>0</v>
      </c>
      <c r="J173" s="60">
        <f t="shared" si="59"/>
        <v>0</v>
      </c>
      <c r="K173" s="60">
        <f t="shared" si="59"/>
        <v>0</v>
      </c>
      <c r="L173" s="60">
        <f t="shared" si="59"/>
        <v>0</v>
      </c>
      <c r="M173" s="60">
        <f t="shared" si="59"/>
        <v>0</v>
      </c>
      <c r="N173" s="60">
        <f t="shared" si="59"/>
        <v>0</v>
      </c>
      <c r="O173" s="60">
        <f t="shared" si="59"/>
        <v>0</v>
      </c>
      <c r="P173" s="60">
        <f t="shared" si="59"/>
        <v>0</v>
      </c>
      <c r="Q173" s="60">
        <f t="shared" si="59"/>
        <v>0</v>
      </c>
      <c r="R173" s="60">
        <f t="shared" si="59"/>
        <v>0</v>
      </c>
      <c r="S173" s="60">
        <f t="shared" si="59"/>
        <v>0</v>
      </c>
      <c r="T173" s="60">
        <f t="shared" si="59"/>
        <v>0</v>
      </c>
      <c r="U173" s="60">
        <f t="shared" si="59"/>
        <v>0</v>
      </c>
      <c r="V173" s="60">
        <f t="shared" si="59"/>
        <v>0</v>
      </c>
      <c r="W173" s="60">
        <f t="shared" si="59"/>
        <v>0</v>
      </c>
      <c r="X173" s="60">
        <f t="shared" si="59"/>
        <v>0</v>
      </c>
      <c r="Y173" s="60">
        <f t="shared" si="59"/>
        <v>0</v>
      </c>
      <c r="Z173" s="60">
        <f t="shared" si="59"/>
        <v>0</v>
      </c>
      <c r="AA173" s="60">
        <f t="shared" si="59"/>
        <v>0</v>
      </c>
      <c r="AB173" s="60">
        <f t="shared" si="59"/>
        <v>0</v>
      </c>
      <c r="AC173" s="60">
        <f t="shared" si="59"/>
        <v>0</v>
      </c>
      <c r="AD173" s="60">
        <f t="shared" si="59"/>
        <v>0</v>
      </c>
      <c r="AE173" s="60">
        <f t="shared" si="59"/>
        <v>0</v>
      </c>
      <c r="AF173" s="60">
        <f t="shared" si="59"/>
        <v>0</v>
      </c>
      <c r="AG173" s="60">
        <f t="shared" si="59"/>
        <v>0</v>
      </c>
      <c r="AH173" s="60">
        <f t="shared" si="59"/>
        <v>0</v>
      </c>
      <c r="AI173" s="60">
        <f t="shared" si="59"/>
        <v>0</v>
      </c>
      <c r="AJ173" s="60">
        <f t="shared" si="59"/>
        <v>0</v>
      </c>
      <c r="AK173" s="60">
        <f t="shared" ref="AK173:BB173" si="60">IF(adProjIteration&lt;=adProjHorizon, adReportPertesPrec,0)</f>
        <v>0</v>
      </c>
      <c r="AL173" s="60">
        <f t="shared" si="60"/>
        <v>0</v>
      </c>
      <c r="AM173" s="60">
        <f t="shared" si="60"/>
        <v>0</v>
      </c>
      <c r="AN173" s="60">
        <f t="shared" si="60"/>
        <v>0</v>
      </c>
      <c r="AO173" s="60">
        <f t="shared" si="60"/>
        <v>0</v>
      </c>
      <c r="AP173" s="60">
        <f t="shared" si="60"/>
        <v>0</v>
      </c>
      <c r="AQ173" s="60">
        <f t="shared" si="60"/>
        <v>0</v>
      </c>
      <c r="AR173" s="60">
        <f t="shared" si="60"/>
        <v>0</v>
      </c>
      <c r="AS173" s="60">
        <f t="shared" si="60"/>
        <v>0</v>
      </c>
      <c r="AT173" s="60">
        <f t="shared" si="60"/>
        <v>0</v>
      </c>
      <c r="AU173" s="60">
        <f t="shared" si="60"/>
        <v>0</v>
      </c>
      <c r="AV173" s="60">
        <f t="shared" si="60"/>
        <v>0</v>
      </c>
      <c r="AW173" s="60">
        <f t="shared" si="60"/>
        <v>0</v>
      </c>
      <c r="AX173" s="60">
        <f t="shared" si="60"/>
        <v>0</v>
      </c>
      <c r="AY173" s="60">
        <f t="shared" si="60"/>
        <v>0</v>
      </c>
      <c r="AZ173" s="60">
        <f t="shared" si="60"/>
        <v>0</v>
      </c>
      <c r="BA173" s="60">
        <f t="shared" si="60"/>
        <v>0</v>
      </c>
      <c r="BB173" s="60">
        <f t="shared" si="60"/>
        <v>0</v>
      </c>
    </row>
    <row r="174" spans="1:54" ht="16.5" x14ac:dyDescent="0.3">
      <c r="A174" s="16"/>
      <c r="B174" s="56"/>
      <c r="C174" s="59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</row>
    <row r="175" spans="1:54" ht="16.5" x14ac:dyDescent="0.3">
      <c r="A175" s="16"/>
      <c r="B175" s="56"/>
      <c r="C175" s="59" t="s">
        <v>141</v>
      </c>
      <c r="D175" s="60"/>
      <c r="E175" s="60">
        <f>SUMIFS(#REF!,#REF!,adProjChocS2,#REF!,adProjScenario,#REF!,adProjIteration,#REF!,adProjCdCanton)</f>
        <v>0</v>
      </c>
      <c r="F175" s="60">
        <f>SUMIFS(#REF!,#REF!,adProjChocS2,#REF!,adProjScenario,#REF!,adProjIteration,#REF!,adProjCdCanton)</f>
        <v>0</v>
      </c>
      <c r="G175" s="60">
        <f>SUMIFS(#REF!,#REF!,adProjChocS2,#REF!,adProjScenario,#REF!,adProjIteration,#REF!,adProjCdCanton)</f>
        <v>0</v>
      </c>
      <c r="H175" s="60">
        <f>SUMIFS(#REF!,#REF!,adProjChocS2,#REF!,adProjScenario,#REF!,adProjIteration,#REF!,adProjCdCanton)</f>
        <v>0</v>
      </c>
      <c r="I175" s="60">
        <f>SUMIFS(#REF!,#REF!,adProjChocS2,#REF!,adProjScenario,#REF!,adProjIteration,#REF!,adProjCdCanton)</f>
        <v>0</v>
      </c>
      <c r="J175" s="60">
        <f>SUMIFS(#REF!,#REF!,adProjChocS2,#REF!,adProjScenario,#REF!,adProjIteration,#REF!,adProjCdCanton)</f>
        <v>0</v>
      </c>
      <c r="K175" s="60">
        <f>SUMIFS(#REF!,#REF!,adProjChocS2,#REF!,adProjScenario,#REF!,adProjIteration,#REF!,adProjCdCanton)</f>
        <v>0</v>
      </c>
      <c r="L175" s="60">
        <f>SUMIFS(#REF!,#REF!,adProjChocS2,#REF!,adProjScenario,#REF!,adProjIteration,#REF!,adProjCdCanton)</f>
        <v>0</v>
      </c>
      <c r="M175" s="60">
        <f>SUMIFS(#REF!,#REF!,adProjChocS2,#REF!,adProjScenario,#REF!,adProjIteration,#REF!,adProjCdCanton)</f>
        <v>0</v>
      </c>
      <c r="N175" s="60">
        <f>SUMIFS(#REF!,#REF!,adProjChocS2,#REF!,adProjScenario,#REF!,adProjIteration,#REF!,adProjCdCanton)</f>
        <v>0</v>
      </c>
      <c r="O175" s="60">
        <f>SUMIFS(#REF!,#REF!,adProjChocS2,#REF!,adProjScenario,#REF!,adProjIteration,#REF!,adProjCdCanton)</f>
        <v>0</v>
      </c>
      <c r="P175" s="60">
        <f>SUMIFS(#REF!,#REF!,adProjChocS2,#REF!,adProjScenario,#REF!,adProjIteration,#REF!,adProjCdCanton)</f>
        <v>0</v>
      </c>
      <c r="Q175" s="60">
        <f>SUMIFS(#REF!,#REF!,adProjChocS2,#REF!,adProjScenario,#REF!,adProjIteration,#REF!,adProjCdCanton)</f>
        <v>0</v>
      </c>
      <c r="R175" s="60">
        <f>SUMIFS(#REF!,#REF!,adProjChocS2,#REF!,adProjScenario,#REF!,adProjIteration,#REF!,adProjCdCanton)</f>
        <v>0</v>
      </c>
      <c r="S175" s="60">
        <f>SUMIFS(#REF!,#REF!,adProjChocS2,#REF!,adProjScenario,#REF!,adProjIteration,#REF!,adProjCdCanton)</f>
        <v>0</v>
      </c>
      <c r="T175" s="60">
        <f>SUMIFS(#REF!,#REF!,adProjChocS2,#REF!,adProjScenario,#REF!,adProjIteration,#REF!,adProjCdCanton)</f>
        <v>0</v>
      </c>
      <c r="U175" s="60">
        <f>SUMIFS(#REF!,#REF!,adProjChocS2,#REF!,adProjScenario,#REF!,adProjIteration,#REF!,adProjCdCanton)</f>
        <v>0</v>
      </c>
      <c r="V175" s="60">
        <f>SUMIFS(#REF!,#REF!,adProjChocS2,#REF!,adProjScenario,#REF!,adProjIteration,#REF!,adProjCdCanton)</f>
        <v>0</v>
      </c>
      <c r="W175" s="60">
        <f>SUMIFS(#REF!,#REF!,adProjChocS2,#REF!,adProjScenario,#REF!,adProjIteration,#REF!,adProjCdCanton)</f>
        <v>0</v>
      </c>
      <c r="X175" s="60">
        <f>SUMIFS(#REF!,#REF!,adProjChocS2,#REF!,adProjScenario,#REF!,adProjIteration,#REF!,adProjCdCanton)</f>
        <v>0</v>
      </c>
      <c r="Y175" s="60">
        <f>SUMIFS(#REF!,#REF!,adProjChocS2,#REF!,adProjScenario,#REF!,adProjIteration,#REF!,adProjCdCanton)</f>
        <v>0</v>
      </c>
      <c r="Z175" s="60">
        <f>SUMIFS(#REF!,#REF!,adProjChocS2,#REF!,adProjScenario,#REF!,adProjIteration,#REF!,adProjCdCanton)</f>
        <v>0</v>
      </c>
      <c r="AA175" s="60">
        <f>SUMIFS(#REF!,#REF!,adProjChocS2,#REF!,adProjScenario,#REF!,adProjIteration,#REF!,adProjCdCanton)</f>
        <v>0</v>
      </c>
      <c r="AB175" s="60">
        <f>SUMIFS(#REF!,#REF!,adProjChocS2,#REF!,adProjScenario,#REF!,adProjIteration,#REF!,adProjCdCanton)</f>
        <v>0</v>
      </c>
      <c r="AC175" s="60">
        <f>SUMIFS(#REF!,#REF!,adProjChocS2,#REF!,adProjScenario,#REF!,adProjIteration,#REF!,adProjCdCanton)</f>
        <v>0</v>
      </c>
      <c r="AD175" s="60">
        <f>SUMIFS(#REF!,#REF!,adProjChocS2,#REF!,adProjScenario,#REF!,adProjIteration,#REF!,adProjCdCanton)</f>
        <v>0</v>
      </c>
      <c r="AE175" s="60">
        <f>SUMIFS(#REF!,#REF!,adProjChocS2,#REF!,adProjScenario,#REF!,adProjIteration,#REF!,adProjCdCanton)</f>
        <v>0</v>
      </c>
      <c r="AF175" s="60">
        <f>SUMIFS(#REF!,#REF!,adProjChocS2,#REF!,adProjScenario,#REF!,adProjIteration,#REF!,adProjCdCanton)</f>
        <v>0</v>
      </c>
      <c r="AG175" s="60">
        <f>SUMIFS(#REF!,#REF!,adProjChocS2,#REF!,adProjScenario,#REF!,adProjIteration,#REF!,adProjCdCanton)</f>
        <v>0</v>
      </c>
      <c r="AH175" s="60">
        <f>SUMIFS(#REF!,#REF!,adProjChocS2,#REF!,adProjScenario,#REF!,adProjIteration,#REF!,adProjCdCanton)</f>
        <v>0</v>
      </c>
      <c r="AI175" s="60">
        <f>SUMIFS(#REF!,#REF!,adProjChocS2,#REF!,adProjScenario,#REF!,adProjIteration,#REF!,adProjCdCanton)</f>
        <v>0</v>
      </c>
      <c r="AJ175" s="60">
        <f>SUMIFS(#REF!,#REF!,adProjChocS2,#REF!,adProjScenario,#REF!,adProjIteration,#REF!,adProjCdCanton)</f>
        <v>0</v>
      </c>
      <c r="AK175" s="60">
        <f>SUMIFS(#REF!,#REF!,adProjChocS2,#REF!,adProjScenario,#REF!,adProjIteration,#REF!,adProjCdCanton)</f>
        <v>0</v>
      </c>
      <c r="AL175" s="60">
        <f>SUMIFS(#REF!,#REF!,adProjChocS2,#REF!,adProjScenario,#REF!,adProjIteration,#REF!,adProjCdCanton)</f>
        <v>0</v>
      </c>
      <c r="AM175" s="60">
        <f>SUMIFS(#REF!,#REF!,adProjChocS2,#REF!,adProjScenario,#REF!,adProjIteration,#REF!,adProjCdCanton)</f>
        <v>0</v>
      </c>
      <c r="AN175" s="60">
        <f>SUMIFS(#REF!,#REF!,adProjChocS2,#REF!,adProjScenario,#REF!,adProjIteration,#REF!,adProjCdCanton)</f>
        <v>0</v>
      </c>
      <c r="AO175" s="60">
        <f>SUMIFS(#REF!,#REF!,adProjChocS2,#REF!,adProjScenario,#REF!,adProjIteration,#REF!,adProjCdCanton)</f>
        <v>0</v>
      </c>
      <c r="AP175" s="60">
        <f>SUMIFS(#REF!,#REF!,adProjChocS2,#REF!,adProjScenario,#REF!,adProjIteration,#REF!,adProjCdCanton)</f>
        <v>0</v>
      </c>
      <c r="AQ175" s="60">
        <f>SUMIFS(#REF!,#REF!,adProjChocS2,#REF!,adProjScenario,#REF!,adProjIteration,#REF!,adProjCdCanton)</f>
        <v>0</v>
      </c>
      <c r="AR175" s="60">
        <f>SUMIFS(#REF!,#REF!,adProjChocS2,#REF!,adProjScenario,#REF!,adProjIteration,#REF!,adProjCdCanton)</f>
        <v>0</v>
      </c>
      <c r="AS175" s="60">
        <f>SUMIFS(#REF!,#REF!,adProjChocS2,#REF!,adProjScenario,#REF!,adProjIteration,#REF!,adProjCdCanton)</f>
        <v>0</v>
      </c>
      <c r="AT175" s="60">
        <f>SUMIFS(#REF!,#REF!,adProjChocS2,#REF!,adProjScenario,#REF!,adProjIteration,#REF!,adProjCdCanton)</f>
        <v>0</v>
      </c>
      <c r="AU175" s="60">
        <f>SUMIFS(#REF!,#REF!,adProjChocS2,#REF!,adProjScenario,#REF!,adProjIteration,#REF!,adProjCdCanton)</f>
        <v>0</v>
      </c>
      <c r="AV175" s="60">
        <f>SUMIFS(#REF!,#REF!,adProjChocS2,#REF!,adProjScenario,#REF!,adProjIteration,#REF!,adProjCdCanton)</f>
        <v>0</v>
      </c>
      <c r="AW175" s="60">
        <f>SUMIFS(#REF!,#REF!,adProjChocS2,#REF!,adProjScenario,#REF!,adProjIteration,#REF!,adProjCdCanton)</f>
        <v>0</v>
      </c>
      <c r="AX175" s="60">
        <f>SUMIFS(#REF!,#REF!,adProjChocS2,#REF!,adProjScenario,#REF!,adProjIteration,#REF!,adProjCdCanton)</f>
        <v>0</v>
      </c>
      <c r="AY175" s="60">
        <f>SUMIFS(#REF!,#REF!,adProjChocS2,#REF!,adProjScenario,#REF!,adProjIteration,#REF!,adProjCdCanton)</f>
        <v>0</v>
      </c>
      <c r="AZ175" s="60">
        <f>SUMIFS(#REF!,#REF!,adProjChocS2,#REF!,adProjScenario,#REF!,adProjIteration,#REF!,adProjCdCanton)</f>
        <v>0</v>
      </c>
      <c r="BA175" s="60">
        <f>SUMIFS(#REF!,#REF!,adProjChocS2,#REF!,adProjScenario,#REF!,adProjIteration,#REF!,adProjCdCanton)</f>
        <v>0</v>
      </c>
      <c r="BB175" s="60">
        <f>SUMIFS(#REF!,#REF!,adProjChocS2,#REF!,adProjScenario,#REF!,adProjIteration,#REF!,adProjCdCanton)</f>
        <v>0</v>
      </c>
    </row>
    <row r="176" spans="1:54" ht="16.5" x14ac:dyDescent="0.3">
      <c r="A176" s="16"/>
      <c r="B176" s="56"/>
      <c r="C176" s="61" t="s">
        <v>142</v>
      </c>
      <c r="D176" s="60"/>
      <c r="E176" s="66">
        <f t="shared" ref="E176:AJ176" si="61">IF(AND(adProjCdCanton&lt;&gt;"Fond_UC",adProjIteration&lt;=adProjHorizon),adCrFi+adCrTech-adBilanPpbDelta-adPmPb-adMrgBeg,0)</f>
        <v>0</v>
      </c>
      <c r="F176" s="66">
        <f t="shared" si="61"/>
        <v>0</v>
      </c>
      <c r="G176" s="66">
        <f t="shared" si="61"/>
        <v>0</v>
      </c>
      <c r="H176" s="66">
        <f t="shared" si="61"/>
        <v>0</v>
      </c>
      <c r="I176" s="66">
        <f t="shared" si="61"/>
        <v>0</v>
      </c>
      <c r="J176" s="66">
        <f t="shared" si="61"/>
        <v>0</v>
      </c>
      <c r="K176" s="66">
        <f t="shared" si="61"/>
        <v>0</v>
      </c>
      <c r="L176" s="66">
        <f t="shared" si="61"/>
        <v>0</v>
      </c>
      <c r="M176" s="66">
        <f t="shared" si="61"/>
        <v>0</v>
      </c>
      <c r="N176" s="66">
        <f t="shared" si="61"/>
        <v>0</v>
      </c>
      <c r="O176" s="66">
        <f t="shared" si="61"/>
        <v>0</v>
      </c>
      <c r="P176" s="66">
        <f t="shared" si="61"/>
        <v>0</v>
      </c>
      <c r="Q176" s="66">
        <f t="shared" si="61"/>
        <v>0</v>
      </c>
      <c r="R176" s="66">
        <f t="shared" si="61"/>
        <v>0</v>
      </c>
      <c r="S176" s="66">
        <f t="shared" si="61"/>
        <v>0</v>
      </c>
      <c r="T176" s="66">
        <f t="shared" si="61"/>
        <v>0</v>
      </c>
      <c r="U176" s="66">
        <f t="shared" si="61"/>
        <v>0</v>
      </c>
      <c r="V176" s="66">
        <f t="shared" si="61"/>
        <v>0</v>
      </c>
      <c r="W176" s="66">
        <f t="shared" si="61"/>
        <v>0</v>
      </c>
      <c r="X176" s="66">
        <f t="shared" si="61"/>
        <v>0</v>
      </c>
      <c r="Y176" s="66">
        <f t="shared" si="61"/>
        <v>0</v>
      </c>
      <c r="Z176" s="66">
        <f t="shared" si="61"/>
        <v>0</v>
      </c>
      <c r="AA176" s="66">
        <f t="shared" si="61"/>
        <v>0</v>
      </c>
      <c r="AB176" s="66">
        <f t="shared" si="61"/>
        <v>0</v>
      </c>
      <c r="AC176" s="66">
        <f t="shared" si="61"/>
        <v>0</v>
      </c>
      <c r="AD176" s="66">
        <f t="shared" si="61"/>
        <v>0</v>
      </c>
      <c r="AE176" s="66">
        <f t="shared" si="61"/>
        <v>0</v>
      </c>
      <c r="AF176" s="66">
        <f t="shared" si="61"/>
        <v>0</v>
      </c>
      <c r="AG176" s="66">
        <f t="shared" si="61"/>
        <v>0</v>
      </c>
      <c r="AH176" s="66">
        <f t="shared" si="61"/>
        <v>0</v>
      </c>
      <c r="AI176" s="66">
        <f t="shared" si="61"/>
        <v>0</v>
      </c>
      <c r="AJ176" s="66">
        <f t="shared" si="61"/>
        <v>0</v>
      </c>
      <c r="AK176" s="66">
        <f t="shared" ref="AK176:BB176" si="62">IF(AND(adProjCdCanton&lt;&gt;"Fond_UC",adProjIteration&lt;=adProjHorizon),adCrFi+adCrTech-adBilanPpbDelta-adPmPb-adMrgBeg,0)</f>
        <v>0</v>
      </c>
      <c r="AL176" s="66">
        <f t="shared" si="62"/>
        <v>0</v>
      </c>
      <c r="AM176" s="66">
        <f t="shared" si="62"/>
        <v>0</v>
      </c>
      <c r="AN176" s="66">
        <f t="shared" si="62"/>
        <v>0</v>
      </c>
      <c r="AO176" s="66">
        <f t="shared" si="62"/>
        <v>0</v>
      </c>
      <c r="AP176" s="66">
        <f t="shared" si="62"/>
        <v>0</v>
      </c>
      <c r="AQ176" s="66">
        <f t="shared" si="62"/>
        <v>0</v>
      </c>
      <c r="AR176" s="66">
        <f t="shared" si="62"/>
        <v>0</v>
      </c>
      <c r="AS176" s="66">
        <f t="shared" si="62"/>
        <v>0</v>
      </c>
      <c r="AT176" s="66">
        <f t="shared" si="62"/>
        <v>0</v>
      </c>
      <c r="AU176" s="66">
        <f t="shared" si="62"/>
        <v>0</v>
      </c>
      <c r="AV176" s="66">
        <f t="shared" si="62"/>
        <v>0</v>
      </c>
      <c r="AW176" s="66">
        <f t="shared" si="62"/>
        <v>0</v>
      </c>
      <c r="AX176" s="66">
        <f t="shared" si="62"/>
        <v>0</v>
      </c>
      <c r="AY176" s="66">
        <f t="shared" si="62"/>
        <v>0</v>
      </c>
      <c r="AZ176" s="66">
        <f t="shared" si="62"/>
        <v>0</v>
      </c>
      <c r="BA176" s="66">
        <f t="shared" si="62"/>
        <v>0</v>
      </c>
      <c r="BB176" s="66">
        <f t="shared" si="62"/>
        <v>0</v>
      </c>
    </row>
    <row r="177" spans="1:54" ht="16.5" x14ac:dyDescent="0.3">
      <c r="A177" s="16"/>
      <c r="B177" s="56"/>
      <c r="C177" s="61" t="s">
        <v>143</v>
      </c>
      <c r="D177" s="20" t="b">
        <f>AND(E177:BB177)</f>
        <v>1</v>
      </c>
      <c r="E177" s="67" t="b">
        <f>ABS(E176-E175)&lt;1</f>
        <v>1</v>
      </c>
      <c r="F177" s="67" t="b">
        <f t="shared" ref="F177:BB177" si="63">ABS(F176-F175)&lt;1</f>
        <v>1</v>
      </c>
      <c r="G177" s="67" t="b">
        <f t="shared" si="63"/>
        <v>1</v>
      </c>
      <c r="H177" s="67" t="b">
        <f t="shared" si="63"/>
        <v>1</v>
      </c>
      <c r="I177" s="67" t="b">
        <f t="shared" si="63"/>
        <v>1</v>
      </c>
      <c r="J177" s="67" t="b">
        <f t="shared" si="63"/>
        <v>1</v>
      </c>
      <c r="K177" s="67" t="b">
        <f t="shared" si="63"/>
        <v>1</v>
      </c>
      <c r="L177" s="67" t="b">
        <f t="shared" si="63"/>
        <v>1</v>
      </c>
      <c r="M177" s="67" t="b">
        <f t="shared" si="63"/>
        <v>1</v>
      </c>
      <c r="N177" s="67" t="b">
        <f t="shared" si="63"/>
        <v>1</v>
      </c>
      <c r="O177" s="67" t="b">
        <f t="shared" si="63"/>
        <v>1</v>
      </c>
      <c r="P177" s="67" t="b">
        <f t="shared" si="63"/>
        <v>1</v>
      </c>
      <c r="Q177" s="67" t="b">
        <f t="shared" si="63"/>
        <v>1</v>
      </c>
      <c r="R177" s="67" t="b">
        <f t="shared" si="63"/>
        <v>1</v>
      </c>
      <c r="S177" s="67" t="b">
        <f t="shared" si="63"/>
        <v>1</v>
      </c>
      <c r="T177" s="67" t="b">
        <f t="shared" si="63"/>
        <v>1</v>
      </c>
      <c r="U177" s="67" t="b">
        <f t="shared" si="63"/>
        <v>1</v>
      </c>
      <c r="V177" s="67" t="b">
        <f t="shared" si="63"/>
        <v>1</v>
      </c>
      <c r="W177" s="67" t="b">
        <f t="shared" si="63"/>
        <v>1</v>
      </c>
      <c r="X177" s="67" t="b">
        <f t="shared" si="63"/>
        <v>1</v>
      </c>
      <c r="Y177" s="67" t="b">
        <f t="shared" si="63"/>
        <v>1</v>
      </c>
      <c r="Z177" s="67" t="b">
        <f t="shared" si="63"/>
        <v>1</v>
      </c>
      <c r="AA177" s="67" t="b">
        <f t="shared" si="63"/>
        <v>1</v>
      </c>
      <c r="AB177" s="67" t="b">
        <f t="shared" si="63"/>
        <v>1</v>
      </c>
      <c r="AC177" s="67" t="b">
        <f t="shared" si="63"/>
        <v>1</v>
      </c>
      <c r="AD177" s="67" t="b">
        <f t="shared" si="63"/>
        <v>1</v>
      </c>
      <c r="AE177" s="67" t="b">
        <f t="shared" si="63"/>
        <v>1</v>
      </c>
      <c r="AF177" s="67" t="b">
        <f t="shared" si="63"/>
        <v>1</v>
      </c>
      <c r="AG177" s="67" t="b">
        <f t="shared" si="63"/>
        <v>1</v>
      </c>
      <c r="AH177" s="67" t="b">
        <f t="shared" si="63"/>
        <v>1</v>
      </c>
      <c r="AI177" s="67" t="b">
        <f t="shared" si="63"/>
        <v>1</v>
      </c>
      <c r="AJ177" s="67" t="b">
        <f t="shared" si="63"/>
        <v>1</v>
      </c>
      <c r="AK177" s="67" t="b">
        <f t="shared" si="63"/>
        <v>1</v>
      </c>
      <c r="AL177" s="67" t="b">
        <f t="shared" si="63"/>
        <v>1</v>
      </c>
      <c r="AM177" s="67" t="b">
        <f t="shared" si="63"/>
        <v>1</v>
      </c>
      <c r="AN177" s="67" t="b">
        <f t="shared" si="63"/>
        <v>1</v>
      </c>
      <c r="AO177" s="67" t="b">
        <f t="shared" si="63"/>
        <v>1</v>
      </c>
      <c r="AP177" s="67" t="b">
        <f t="shared" si="63"/>
        <v>1</v>
      </c>
      <c r="AQ177" s="67" t="b">
        <f t="shared" si="63"/>
        <v>1</v>
      </c>
      <c r="AR177" s="67" t="b">
        <f t="shared" si="63"/>
        <v>1</v>
      </c>
      <c r="AS177" s="67" t="b">
        <f t="shared" si="63"/>
        <v>1</v>
      </c>
      <c r="AT177" s="67" t="b">
        <f t="shared" si="63"/>
        <v>1</v>
      </c>
      <c r="AU177" s="67" t="b">
        <f t="shared" si="63"/>
        <v>1</v>
      </c>
      <c r="AV177" s="67" t="b">
        <f t="shared" si="63"/>
        <v>1</v>
      </c>
      <c r="AW177" s="67" t="b">
        <f t="shared" si="63"/>
        <v>1</v>
      </c>
      <c r="AX177" s="67" t="b">
        <f t="shared" si="63"/>
        <v>1</v>
      </c>
      <c r="AY177" s="67" t="b">
        <f t="shared" si="63"/>
        <v>1</v>
      </c>
      <c r="AZ177" s="67" t="b">
        <f t="shared" si="63"/>
        <v>1</v>
      </c>
      <c r="BA177" s="67" t="b">
        <f t="shared" si="63"/>
        <v>1</v>
      </c>
      <c r="BB177" s="67" t="b">
        <f t="shared" si="63"/>
        <v>1</v>
      </c>
    </row>
    <row r="178" spans="1:54" ht="16.5" x14ac:dyDescent="0.3">
      <c r="A178" s="16"/>
      <c r="B178" s="56"/>
      <c r="C178" s="61"/>
      <c r="D178" s="60"/>
      <c r="E178" s="64"/>
      <c r="F178" s="64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/>
      <c r="BB178" s="64"/>
    </row>
    <row r="179" spans="1:54" ht="16.5" x14ac:dyDescent="0.3">
      <c r="A179" s="16"/>
      <c r="B179" s="56"/>
      <c r="C179" s="61" t="s">
        <v>144</v>
      </c>
      <c r="D179" s="60"/>
      <c r="E179" s="64">
        <f t="shared" ref="E179:AJ179" si="64">adCrSoldePb+adPmPb</f>
        <v>0</v>
      </c>
      <c r="F179" s="64">
        <f t="shared" si="64"/>
        <v>0</v>
      </c>
      <c r="G179" s="64">
        <f t="shared" si="64"/>
        <v>0</v>
      </c>
      <c r="H179" s="64">
        <f t="shared" si="64"/>
        <v>0</v>
      </c>
      <c r="I179" s="64">
        <f t="shared" si="64"/>
        <v>0</v>
      </c>
      <c r="J179" s="64">
        <f t="shared" si="64"/>
        <v>0</v>
      </c>
      <c r="K179" s="64">
        <f t="shared" si="64"/>
        <v>0</v>
      </c>
      <c r="L179" s="64">
        <f t="shared" si="64"/>
        <v>0</v>
      </c>
      <c r="M179" s="64">
        <f t="shared" si="64"/>
        <v>0</v>
      </c>
      <c r="N179" s="64">
        <f t="shared" si="64"/>
        <v>0</v>
      </c>
      <c r="O179" s="64">
        <f t="shared" si="64"/>
        <v>0</v>
      </c>
      <c r="P179" s="64">
        <f t="shared" si="64"/>
        <v>0</v>
      </c>
      <c r="Q179" s="64">
        <f t="shared" si="64"/>
        <v>0</v>
      </c>
      <c r="R179" s="64">
        <f t="shared" si="64"/>
        <v>0</v>
      </c>
      <c r="S179" s="64">
        <f t="shared" si="64"/>
        <v>0</v>
      </c>
      <c r="T179" s="64">
        <f t="shared" si="64"/>
        <v>0</v>
      </c>
      <c r="U179" s="64">
        <f t="shared" si="64"/>
        <v>0</v>
      </c>
      <c r="V179" s="64">
        <f t="shared" si="64"/>
        <v>0</v>
      </c>
      <c r="W179" s="64">
        <f t="shared" si="64"/>
        <v>0</v>
      </c>
      <c r="X179" s="64">
        <f t="shared" si="64"/>
        <v>0</v>
      </c>
      <c r="Y179" s="64">
        <f t="shared" si="64"/>
        <v>0</v>
      </c>
      <c r="Z179" s="64">
        <f t="shared" si="64"/>
        <v>0</v>
      </c>
      <c r="AA179" s="64">
        <f t="shared" si="64"/>
        <v>0</v>
      </c>
      <c r="AB179" s="64">
        <f t="shared" si="64"/>
        <v>0</v>
      </c>
      <c r="AC179" s="64">
        <f t="shared" si="64"/>
        <v>0</v>
      </c>
      <c r="AD179" s="64">
        <f t="shared" si="64"/>
        <v>0</v>
      </c>
      <c r="AE179" s="64">
        <f t="shared" si="64"/>
        <v>0</v>
      </c>
      <c r="AF179" s="64">
        <f t="shared" si="64"/>
        <v>0</v>
      </c>
      <c r="AG179" s="64">
        <f t="shared" si="64"/>
        <v>0</v>
      </c>
      <c r="AH179" s="64">
        <f t="shared" si="64"/>
        <v>0</v>
      </c>
      <c r="AI179" s="64">
        <f t="shared" si="64"/>
        <v>0</v>
      </c>
      <c r="AJ179" s="64">
        <f t="shared" si="64"/>
        <v>0</v>
      </c>
      <c r="AK179" s="64">
        <f t="shared" ref="AK179:BB179" si="65">adCrSoldePb+adPmPb</f>
        <v>0</v>
      </c>
      <c r="AL179" s="64">
        <f t="shared" si="65"/>
        <v>0</v>
      </c>
      <c r="AM179" s="64">
        <f t="shared" si="65"/>
        <v>0</v>
      </c>
      <c r="AN179" s="64">
        <f t="shared" si="65"/>
        <v>0</v>
      </c>
      <c r="AO179" s="64">
        <f t="shared" si="65"/>
        <v>0</v>
      </c>
      <c r="AP179" s="64">
        <f t="shared" si="65"/>
        <v>0</v>
      </c>
      <c r="AQ179" s="64">
        <f t="shared" si="65"/>
        <v>0</v>
      </c>
      <c r="AR179" s="64">
        <f t="shared" si="65"/>
        <v>0</v>
      </c>
      <c r="AS179" s="64">
        <f t="shared" si="65"/>
        <v>0</v>
      </c>
      <c r="AT179" s="64">
        <f t="shared" si="65"/>
        <v>0</v>
      </c>
      <c r="AU179" s="64">
        <f t="shared" si="65"/>
        <v>0</v>
      </c>
      <c r="AV179" s="64">
        <f t="shared" si="65"/>
        <v>0</v>
      </c>
      <c r="AW179" s="64">
        <f t="shared" si="65"/>
        <v>0</v>
      </c>
      <c r="AX179" s="64">
        <f t="shared" si="65"/>
        <v>0</v>
      </c>
      <c r="AY179" s="64">
        <f t="shared" si="65"/>
        <v>0</v>
      </c>
      <c r="AZ179" s="64">
        <f t="shared" si="65"/>
        <v>0</v>
      </c>
      <c r="BA179" s="64">
        <f t="shared" si="65"/>
        <v>0</v>
      </c>
      <c r="BB179" s="64">
        <f t="shared" si="65"/>
        <v>0</v>
      </c>
    </row>
    <row r="180" spans="1:54" ht="16.5" x14ac:dyDescent="0.3">
      <c r="A180" s="16"/>
      <c r="B180" s="56"/>
      <c r="C180" s="59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</row>
    <row r="181" spans="1:54" ht="16.350000000000001" customHeight="1" x14ac:dyDescent="0.3">
      <c r="A181" s="16"/>
      <c r="B181" s="56"/>
      <c r="C181" s="62" t="s">
        <v>145</v>
      </c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</row>
    <row r="182" spans="1:54" ht="16.350000000000001" customHeight="1" x14ac:dyDescent="0.3">
      <c r="A182" s="16"/>
      <c r="B182" s="56"/>
      <c r="C182" s="59" t="s">
        <v>146</v>
      </c>
      <c r="D182" s="60"/>
      <c r="E182" s="60">
        <f t="shared" ref="E182:AJ182" si="66">MAX(0,-adCrSoldePb)</f>
        <v>0</v>
      </c>
      <c r="F182" s="60">
        <f t="shared" si="66"/>
        <v>0</v>
      </c>
      <c r="G182" s="60">
        <f t="shared" si="66"/>
        <v>0</v>
      </c>
      <c r="H182" s="60">
        <f t="shared" si="66"/>
        <v>0</v>
      </c>
      <c r="I182" s="60">
        <f t="shared" si="66"/>
        <v>0</v>
      </c>
      <c r="J182" s="60">
        <f t="shared" si="66"/>
        <v>0</v>
      </c>
      <c r="K182" s="60">
        <f t="shared" si="66"/>
        <v>0</v>
      </c>
      <c r="L182" s="60">
        <f t="shared" si="66"/>
        <v>0</v>
      </c>
      <c r="M182" s="60">
        <f t="shared" si="66"/>
        <v>0</v>
      </c>
      <c r="N182" s="60">
        <f t="shared" si="66"/>
        <v>0</v>
      </c>
      <c r="O182" s="60">
        <f t="shared" si="66"/>
        <v>0</v>
      </c>
      <c r="P182" s="60">
        <f t="shared" si="66"/>
        <v>0</v>
      </c>
      <c r="Q182" s="60">
        <f t="shared" si="66"/>
        <v>0</v>
      </c>
      <c r="R182" s="60">
        <f t="shared" si="66"/>
        <v>0</v>
      </c>
      <c r="S182" s="60">
        <f t="shared" si="66"/>
        <v>0</v>
      </c>
      <c r="T182" s="60">
        <f t="shared" si="66"/>
        <v>0</v>
      </c>
      <c r="U182" s="60">
        <f t="shared" si="66"/>
        <v>0</v>
      </c>
      <c r="V182" s="60">
        <f t="shared" si="66"/>
        <v>0</v>
      </c>
      <c r="W182" s="60">
        <f t="shared" si="66"/>
        <v>0</v>
      </c>
      <c r="X182" s="60">
        <f t="shared" si="66"/>
        <v>0</v>
      </c>
      <c r="Y182" s="60">
        <f t="shared" si="66"/>
        <v>0</v>
      </c>
      <c r="Z182" s="60">
        <f t="shared" si="66"/>
        <v>0</v>
      </c>
      <c r="AA182" s="60">
        <f t="shared" si="66"/>
        <v>0</v>
      </c>
      <c r="AB182" s="60">
        <f t="shared" si="66"/>
        <v>0</v>
      </c>
      <c r="AC182" s="60">
        <f t="shared" si="66"/>
        <v>0</v>
      </c>
      <c r="AD182" s="60">
        <f t="shared" si="66"/>
        <v>0</v>
      </c>
      <c r="AE182" s="60">
        <f t="shared" si="66"/>
        <v>0</v>
      </c>
      <c r="AF182" s="60">
        <f t="shared" si="66"/>
        <v>0</v>
      </c>
      <c r="AG182" s="60">
        <f t="shared" si="66"/>
        <v>0</v>
      </c>
      <c r="AH182" s="60">
        <f t="shared" si="66"/>
        <v>0</v>
      </c>
      <c r="AI182" s="60">
        <f t="shared" si="66"/>
        <v>0</v>
      </c>
      <c r="AJ182" s="60">
        <f t="shared" si="66"/>
        <v>0</v>
      </c>
      <c r="AK182" s="60">
        <f t="shared" ref="AK182:BB182" si="67">MAX(0,-adCrSoldePb)</f>
        <v>0</v>
      </c>
      <c r="AL182" s="60">
        <f t="shared" si="67"/>
        <v>0</v>
      </c>
      <c r="AM182" s="60">
        <f t="shared" si="67"/>
        <v>0</v>
      </c>
      <c r="AN182" s="60">
        <f t="shared" si="67"/>
        <v>0</v>
      </c>
      <c r="AO182" s="60">
        <f t="shared" si="67"/>
        <v>0</v>
      </c>
      <c r="AP182" s="60">
        <f t="shared" si="67"/>
        <v>0</v>
      </c>
      <c r="AQ182" s="60">
        <f t="shared" si="67"/>
        <v>0</v>
      </c>
      <c r="AR182" s="60">
        <f t="shared" si="67"/>
        <v>0</v>
      </c>
      <c r="AS182" s="60">
        <f t="shared" si="67"/>
        <v>0</v>
      </c>
      <c r="AT182" s="60">
        <f t="shared" si="67"/>
        <v>0</v>
      </c>
      <c r="AU182" s="60">
        <f t="shared" si="67"/>
        <v>0</v>
      </c>
      <c r="AV182" s="60">
        <f t="shared" si="67"/>
        <v>0</v>
      </c>
      <c r="AW182" s="60">
        <f t="shared" si="67"/>
        <v>0</v>
      </c>
      <c r="AX182" s="60">
        <f t="shared" si="67"/>
        <v>0</v>
      </c>
      <c r="AY182" s="60">
        <f t="shared" si="67"/>
        <v>0</v>
      </c>
      <c r="AZ182" s="60">
        <f t="shared" si="67"/>
        <v>0</v>
      </c>
      <c r="BA182" s="60">
        <f t="shared" si="67"/>
        <v>0</v>
      </c>
      <c r="BB182" s="60">
        <f t="shared" si="67"/>
        <v>0</v>
      </c>
    </row>
    <row r="183" spans="1:54" ht="16.350000000000001" customHeight="1" x14ac:dyDescent="0.3">
      <c r="A183" s="68"/>
      <c r="B183" s="56"/>
      <c r="C183" s="69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</row>
    <row r="184" spans="1:54" ht="16.350000000000001" customHeight="1" x14ac:dyDescent="0.25"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70"/>
      <c r="BB184" s="70"/>
    </row>
    <row r="185" spans="1:54" ht="16.350000000000001" customHeight="1" x14ac:dyDescent="0.3">
      <c r="B185" s="71" t="s">
        <v>147</v>
      </c>
      <c r="C185" s="71"/>
      <c r="D185" s="72">
        <v>0</v>
      </c>
      <c r="E185" s="72">
        <v>1</v>
      </c>
      <c r="F185" s="72">
        <v>2</v>
      </c>
      <c r="G185" s="72">
        <v>3</v>
      </c>
      <c r="H185" s="72">
        <v>4</v>
      </c>
      <c r="I185" s="72">
        <v>5</v>
      </c>
      <c r="J185" s="72">
        <v>6</v>
      </c>
      <c r="K185" s="72">
        <v>7</v>
      </c>
      <c r="L185" s="72">
        <v>8</v>
      </c>
      <c r="M185" s="72">
        <v>9</v>
      </c>
      <c r="N185" s="72">
        <v>10</v>
      </c>
      <c r="O185" s="72">
        <v>11</v>
      </c>
      <c r="P185" s="72">
        <v>12</v>
      </c>
      <c r="Q185" s="72">
        <v>13</v>
      </c>
      <c r="R185" s="72">
        <v>14</v>
      </c>
      <c r="S185" s="72">
        <v>15</v>
      </c>
      <c r="T185" s="72">
        <v>16</v>
      </c>
      <c r="U185" s="72">
        <v>17</v>
      </c>
      <c r="V185" s="72">
        <v>18</v>
      </c>
      <c r="W185" s="72">
        <v>19</v>
      </c>
      <c r="X185" s="72">
        <v>20</v>
      </c>
      <c r="Y185" s="72">
        <v>21</v>
      </c>
      <c r="Z185" s="72">
        <v>22</v>
      </c>
      <c r="AA185" s="72">
        <v>23</v>
      </c>
      <c r="AB185" s="72">
        <v>24</v>
      </c>
      <c r="AC185" s="72">
        <v>25</v>
      </c>
      <c r="AD185" s="72">
        <v>26</v>
      </c>
      <c r="AE185" s="72">
        <v>27</v>
      </c>
      <c r="AF185" s="72">
        <v>28</v>
      </c>
      <c r="AG185" s="72">
        <v>29</v>
      </c>
      <c r="AH185" s="72">
        <v>30</v>
      </c>
      <c r="AI185" s="72">
        <v>31</v>
      </c>
      <c r="AJ185" s="72">
        <v>32</v>
      </c>
      <c r="AK185" s="72">
        <v>33</v>
      </c>
      <c r="AL185" s="72">
        <v>34</v>
      </c>
      <c r="AM185" s="72">
        <v>35</v>
      </c>
      <c r="AN185" s="72">
        <v>36</v>
      </c>
      <c r="AO185" s="72">
        <v>37</v>
      </c>
      <c r="AP185" s="72">
        <v>38</v>
      </c>
      <c r="AQ185" s="72">
        <v>39</v>
      </c>
      <c r="AR185" s="72">
        <v>40</v>
      </c>
      <c r="AS185" s="72">
        <v>41</v>
      </c>
      <c r="AT185" s="72">
        <v>42</v>
      </c>
      <c r="AU185" s="72">
        <v>43</v>
      </c>
      <c r="AV185" s="72">
        <v>44</v>
      </c>
      <c r="AW185" s="72">
        <v>45</v>
      </c>
      <c r="AX185" s="72">
        <v>46</v>
      </c>
      <c r="AY185" s="72">
        <v>47</v>
      </c>
      <c r="AZ185" s="72">
        <v>48</v>
      </c>
      <c r="BA185" s="72">
        <v>49</v>
      </c>
      <c r="BB185" s="73">
        <v>50</v>
      </c>
    </row>
    <row r="186" spans="1:54" ht="16.350000000000001" customHeight="1" x14ac:dyDescent="0.3">
      <c r="A186" s="16"/>
      <c r="B186" s="74"/>
      <c r="C186" s="75" t="s">
        <v>148</v>
      </c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</row>
    <row r="187" spans="1:54" ht="16.5" x14ac:dyDescent="0.3">
      <c r="A187" s="16"/>
      <c r="B187" s="74"/>
      <c r="C187" s="77" t="s">
        <v>149</v>
      </c>
      <c r="D187" s="76">
        <f t="shared" ref="D187:BB187" si="68">D17</f>
        <v>0</v>
      </c>
      <c r="E187" s="76">
        <f t="shared" si="68"/>
        <v>0</v>
      </c>
      <c r="F187" s="76">
        <f t="shared" si="68"/>
        <v>0</v>
      </c>
      <c r="G187" s="76">
        <f t="shared" si="68"/>
        <v>0</v>
      </c>
      <c r="H187" s="76">
        <f t="shared" si="68"/>
        <v>0</v>
      </c>
      <c r="I187" s="76">
        <f t="shared" si="68"/>
        <v>0</v>
      </c>
      <c r="J187" s="76">
        <f t="shared" si="68"/>
        <v>0</v>
      </c>
      <c r="K187" s="76">
        <f t="shared" si="68"/>
        <v>0</v>
      </c>
      <c r="L187" s="76">
        <f t="shared" si="68"/>
        <v>0</v>
      </c>
      <c r="M187" s="76">
        <f t="shared" si="68"/>
        <v>0</v>
      </c>
      <c r="N187" s="76">
        <f t="shared" si="68"/>
        <v>0</v>
      </c>
      <c r="O187" s="76">
        <f t="shared" si="68"/>
        <v>0</v>
      </c>
      <c r="P187" s="76">
        <f t="shared" si="68"/>
        <v>0</v>
      </c>
      <c r="Q187" s="76">
        <f t="shared" si="68"/>
        <v>0</v>
      </c>
      <c r="R187" s="76">
        <f t="shared" si="68"/>
        <v>0</v>
      </c>
      <c r="S187" s="76">
        <f t="shared" si="68"/>
        <v>0</v>
      </c>
      <c r="T187" s="76">
        <f t="shared" si="68"/>
        <v>0</v>
      </c>
      <c r="U187" s="76">
        <f t="shared" si="68"/>
        <v>0</v>
      </c>
      <c r="V187" s="76">
        <f t="shared" si="68"/>
        <v>0</v>
      </c>
      <c r="W187" s="76">
        <f t="shared" si="68"/>
        <v>0</v>
      </c>
      <c r="X187" s="76">
        <f t="shared" si="68"/>
        <v>0</v>
      </c>
      <c r="Y187" s="76">
        <f t="shared" si="68"/>
        <v>0</v>
      </c>
      <c r="Z187" s="76">
        <f t="shared" si="68"/>
        <v>0</v>
      </c>
      <c r="AA187" s="76">
        <f t="shared" si="68"/>
        <v>0</v>
      </c>
      <c r="AB187" s="76">
        <f t="shared" si="68"/>
        <v>0</v>
      </c>
      <c r="AC187" s="76">
        <f t="shared" si="68"/>
        <v>0</v>
      </c>
      <c r="AD187" s="76">
        <f t="shared" si="68"/>
        <v>0</v>
      </c>
      <c r="AE187" s="76">
        <f t="shared" si="68"/>
        <v>0</v>
      </c>
      <c r="AF187" s="76">
        <f t="shared" si="68"/>
        <v>0</v>
      </c>
      <c r="AG187" s="76">
        <f t="shared" si="68"/>
        <v>0</v>
      </c>
      <c r="AH187" s="76">
        <f t="shared" si="68"/>
        <v>0</v>
      </c>
      <c r="AI187" s="76">
        <f t="shared" si="68"/>
        <v>0</v>
      </c>
      <c r="AJ187" s="76">
        <f t="shared" si="68"/>
        <v>0</v>
      </c>
      <c r="AK187" s="76">
        <f t="shared" si="68"/>
        <v>0</v>
      </c>
      <c r="AL187" s="76">
        <f t="shared" si="68"/>
        <v>0</v>
      </c>
      <c r="AM187" s="76">
        <f t="shared" si="68"/>
        <v>0</v>
      </c>
      <c r="AN187" s="76">
        <f t="shared" si="68"/>
        <v>0</v>
      </c>
      <c r="AO187" s="76">
        <f t="shared" si="68"/>
        <v>0</v>
      </c>
      <c r="AP187" s="76">
        <f t="shared" si="68"/>
        <v>0</v>
      </c>
      <c r="AQ187" s="76">
        <f t="shared" si="68"/>
        <v>0</v>
      </c>
      <c r="AR187" s="76">
        <f t="shared" si="68"/>
        <v>0</v>
      </c>
      <c r="AS187" s="76">
        <f t="shared" si="68"/>
        <v>0</v>
      </c>
      <c r="AT187" s="76">
        <f t="shared" si="68"/>
        <v>0</v>
      </c>
      <c r="AU187" s="76">
        <f t="shared" si="68"/>
        <v>0</v>
      </c>
      <c r="AV187" s="76">
        <f t="shared" si="68"/>
        <v>0</v>
      </c>
      <c r="AW187" s="76">
        <f t="shared" si="68"/>
        <v>0</v>
      </c>
      <c r="AX187" s="76">
        <f t="shared" si="68"/>
        <v>0</v>
      </c>
      <c r="AY187" s="76">
        <f t="shared" si="68"/>
        <v>0</v>
      </c>
      <c r="AZ187" s="76">
        <f t="shared" si="68"/>
        <v>0</v>
      </c>
      <c r="BA187" s="76">
        <f t="shared" si="68"/>
        <v>0</v>
      </c>
      <c r="BB187" s="76">
        <f t="shared" si="68"/>
        <v>0</v>
      </c>
    </row>
    <row r="188" spans="1:54" ht="16.5" x14ac:dyDescent="0.3">
      <c r="A188" s="68"/>
      <c r="B188" s="74"/>
      <c r="C188" s="78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</row>
    <row r="189" spans="1:54" ht="16.5" x14ac:dyDescent="0.3">
      <c r="B189" s="74"/>
      <c r="C189" s="79" t="s">
        <v>150</v>
      </c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</row>
    <row r="190" spans="1:54" ht="16.5" x14ac:dyDescent="0.3">
      <c r="B190" s="74"/>
      <c r="C190" s="77" t="s">
        <v>151</v>
      </c>
      <c r="D190" s="76">
        <f>SUMIFS(PrdAdBilan!$H:$H,PrdAdBilan!$B:$B,adProjChocS2,PrdAdBilan!$C:$C,adProjScenario,PrdAdBilan!$D:$D,adProjIteration,PrdAdBilan!$G:$G,adProjCdCanton)</f>
        <v>0</v>
      </c>
      <c r="E190" s="76">
        <f>SUMIFS(PrdAdBilan!$H:$H,PrdAdBilan!$B:$B,adProjChocS2,PrdAdBilan!$C:$C,adProjScenario,PrdAdBilan!$D:$D,adProjIteration,PrdAdBilan!$G:$G,adProjCdCanton)</f>
        <v>0</v>
      </c>
      <c r="F190" s="76">
        <f>SUMIFS(PrdAdBilan!$H:$H,PrdAdBilan!$B:$B,adProjChocS2,PrdAdBilan!$C:$C,adProjScenario,PrdAdBilan!$D:$D,adProjIteration,PrdAdBilan!$G:$G,adProjCdCanton)</f>
        <v>0</v>
      </c>
      <c r="G190" s="76">
        <f>SUMIFS(PrdAdBilan!$H:$H,PrdAdBilan!$B:$B,adProjChocS2,PrdAdBilan!$C:$C,adProjScenario,PrdAdBilan!$D:$D,adProjIteration,PrdAdBilan!$G:$G,adProjCdCanton)</f>
        <v>0</v>
      </c>
      <c r="H190" s="76">
        <f>SUMIFS(PrdAdBilan!$H:$H,PrdAdBilan!$B:$B,adProjChocS2,PrdAdBilan!$C:$C,adProjScenario,PrdAdBilan!$D:$D,adProjIteration,PrdAdBilan!$G:$G,adProjCdCanton)</f>
        <v>0</v>
      </c>
      <c r="I190" s="76">
        <f>SUMIFS(PrdAdBilan!$H:$H,PrdAdBilan!$B:$B,adProjChocS2,PrdAdBilan!$C:$C,adProjScenario,PrdAdBilan!$D:$D,adProjIteration,PrdAdBilan!$G:$G,adProjCdCanton)</f>
        <v>0</v>
      </c>
      <c r="J190" s="76">
        <f>SUMIFS(PrdAdBilan!$H:$H,PrdAdBilan!$B:$B,adProjChocS2,PrdAdBilan!$C:$C,adProjScenario,PrdAdBilan!$D:$D,adProjIteration,PrdAdBilan!$G:$G,adProjCdCanton)</f>
        <v>0</v>
      </c>
      <c r="K190" s="76">
        <f>SUMIFS(PrdAdBilan!$H:$H,PrdAdBilan!$B:$B,adProjChocS2,PrdAdBilan!$C:$C,adProjScenario,PrdAdBilan!$D:$D,adProjIteration,PrdAdBilan!$G:$G,adProjCdCanton)</f>
        <v>0</v>
      </c>
      <c r="L190" s="76">
        <f>SUMIFS(PrdAdBilan!$H:$H,PrdAdBilan!$B:$B,adProjChocS2,PrdAdBilan!$C:$C,adProjScenario,PrdAdBilan!$D:$D,adProjIteration,PrdAdBilan!$G:$G,adProjCdCanton)</f>
        <v>0</v>
      </c>
      <c r="M190" s="76">
        <f>SUMIFS(PrdAdBilan!$H:$H,PrdAdBilan!$B:$B,adProjChocS2,PrdAdBilan!$C:$C,adProjScenario,PrdAdBilan!$D:$D,adProjIteration,PrdAdBilan!$G:$G,adProjCdCanton)</f>
        <v>0</v>
      </c>
      <c r="N190" s="76">
        <f>SUMIFS(PrdAdBilan!$H:$H,PrdAdBilan!$B:$B,adProjChocS2,PrdAdBilan!$C:$C,adProjScenario,PrdAdBilan!$D:$D,adProjIteration,PrdAdBilan!$G:$G,adProjCdCanton)</f>
        <v>0</v>
      </c>
      <c r="O190" s="76">
        <f>SUMIFS(PrdAdBilan!$H:$H,PrdAdBilan!$B:$B,adProjChocS2,PrdAdBilan!$C:$C,adProjScenario,PrdAdBilan!$D:$D,adProjIteration,PrdAdBilan!$G:$G,adProjCdCanton)</f>
        <v>0</v>
      </c>
      <c r="P190" s="76">
        <f>SUMIFS(PrdAdBilan!$H:$H,PrdAdBilan!$B:$B,adProjChocS2,PrdAdBilan!$C:$C,adProjScenario,PrdAdBilan!$D:$D,adProjIteration,PrdAdBilan!$G:$G,adProjCdCanton)</f>
        <v>0</v>
      </c>
      <c r="Q190" s="76">
        <f>SUMIFS(PrdAdBilan!$H:$H,PrdAdBilan!$B:$B,adProjChocS2,PrdAdBilan!$C:$C,adProjScenario,PrdAdBilan!$D:$D,adProjIteration,PrdAdBilan!$G:$G,adProjCdCanton)</f>
        <v>0</v>
      </c>
      <c r="R190" s="76">
        <f>SUMIFS(PrdAdBilan!$H:$H,PrdAdBilan!$B:$B,adProjChocS2,PrdAdBilan!$C:$C,adProjScenario,PrdAdBilan!$D:$D,adProjIteration,PrdAdBilan!$G:$G,adProjCdCanton)</f>
        <v>0</v>
      </c>
      <c r="S190" s="76">
        <f>SUMIFS(PrdAdBilan!$H:$H,PrdAdBilan!$B:$B,adProjChocS2,PrdAdBilan!$C:$C,adProjScenario,PrdAdBilan!$D:$D,adProjIteration,PrdAdBilan!$G:$G,adProjCdCanton)</f>
        <v>0</v>
      </c>
      <c r="T190" s="76">
        <f>SUMIFS(PrdAdBilan!$H:$H,PrdAdBilan!$B:$B,adProjChocS2,PrdAdBilan!$C:$C,adProjScenario,PrdAdBilan!$D:$D,adProjIteration,PrdAdBilan!$G:$G,adProjCdCanton)</f>
        <v>0</v>
      </c>
      <c r="U190" s="76">
        <f>SUMIFS(PrdAdBilan!$H:$H,PrdAdBilan!$B:$B,adProjChocS2,PrdAdBilan!$C:$C,adProjScenario,PrdAdBilan!$D:$D,adProjIteration,PrdAdBilan!$G:$G,adProjCdCanton)</f>
        <v>0</v>
      </c>
      <c r="V190" s="76">
        <f>SUMIFS(PrdAdBilan!$H:$H,PrdAdBilan!$B:$B,adProjChocS2,PrdAdBilan!$C:$C,adProjScenario,PrdAdBilan!$D:$D,adProjIteration,PrdAdBilan!$G:$G,adProjCdCanton)</f>
        <v>0</v>
      </c>
      <c r="W190" s="76">
        <f>SUMIFS(PrdAdBilan!$H:$H,PrdAdBilan!$B:$B,adProjChocS2,PrdAdBilan!$C:$C,adProjScenario,PrdAdBilan!$D:$D,adProjIteration,PrdAdBilan!$G:$G,adProjCdCanton)</f>
        <v>0</v>
      </c>
      <c r="X190" s="76">
        <f>SUMIFS(PrdAdBilan!$H:$H,PrdAdBilan!$B:$B,adProjChocS2,PrdAdBilan!$C:$C,adProjScenario,PrdAdBilan!$D:$D,adProjIteration,PrdAdBilan!$G:$G,adProjCdCanton)</f>
        <v>0</v>
      </c>
      <c r="Y190" s="76">
        <f>SUMIFS(PrdAdBilan!$H:$H,PrdAdBilan!$B:$B,adProjChocS2,PrdAdBilan!$C:$C,adProjScenario,PrdAdBilan!$D:$D,adProjIteration,PrdAdBilan!$G:$G,adProjCdCanton)</f>
        <v>0</v>
      </c>
      <c r="Z190" s="76">
        <f>SUMIFS(PrdAdBilan!$H:$H,PrdAdBilan!$B:$B,adProjChocS2,PrdAdBilan!$C:$C,adProjScenario,PrdAdBilan!$D:$D,adProjIteration,PrdAdBilan!$G:$G,adProjCdCanton)</f>
        <v>0</v>
      </c>
      <c r="AA190" s="76">
        <f>SUMIFS(PrdAdBilan!$H:$H,PrdAdBilan!$B:$B,adProjChocS2,PrdAdBilan!$C:$C,adProjScenario,PrdAdBilan!$D:$D,adProjIteration,PrdAdBilan!$G:$G,adProjCdCanton)</f>
        <v>0</v>
      </c>
      <c r="AB190" s="76">
        <f>SUMIFS(PrdAdBilan!$H:$H,PrdAdBilan!$B:$B,adProjChocS2,PrdAdBilan!$C:$C,adProjScenario,PrdAdBilan!$D:$D,adProjIteration,PrdAdBilan!$G:$G,adProjCdCanton)</f>
        <v>0</v>
      </c>
      <c r="AC190" s="76">
        <f>SUMIFS(PrdAdBilan!$H:$H,PrdAdBilan!$B:$B,adProjChocS2,PrdAdBilan!$C:$C,adProjScenario,PrdAdBilan!$D:$D,adProjIteration,PrdAdBilan!$G:$G,adProjCdCanton)</f>
        <v>0</v>
      </c>
      <c r="AD190" s="76">
        <f>SUMIFS(PrdAdBilan!$H:$H,PrdAdBilan!$B:$B,adProjChocS2,PrdAdBilan!$C:$C,adProjScenario,PrdAdBilan!$D:$D,adProjIteration,PrdAdBilan!$G:$G,adProjCdCanton)</f>
        <v>0</v>
      </c>
      <c r="AE190" s="76">
        <f>SUMIFS(PrdAdBilan!$H:$H,PrdAdBilan!$B:$B,adProjChocS2,PrdAdBilan!$C:$C,adProjScenario,PrdAdBilan!$D:$D,adProjIteration,PrdAdBilan!$G:$G,adProjCdCanton)</f>
        <v>0</v>
      </c>
      <c r="AF190" s="76">
        <f>SUMIFS(PrdAdBilan!$H:$H,PrdAdBilan!$B:$B,adProjChocS2,PrdAdBilan!$C:$C,adProjScenario,PrdAdBilan!$D:$D,adProjIteration,PrdAdBilan!$G:$G,adProjCdCanton)</f>
        <v>0</v>
      </c>
      <c r="AG190" s="76">
        <f>SUMIFS(PrdAdBilan!$H:$H,PrdAdBilan!$B:$B,adProjChocS2,PrdAdBilan!$C:$C,adProjScenario,PrdAdBilan!$D:$D,adProjIteration,PrdAdBilan!$G:$G,adProjCdCanton)</f>
        <v>0</v>
      </c>
      <c r="AH190" s="76">
        <f>SUMIFS(PrdAdBilan!$H:$H,PrdAdBilan!$B:$B,adProjChocS2,PrdAdBilan!$C:$C,adProjScenario,PrdAdBilan!$D:$D,adProjIteration,PrdAdBilan!$G:$G,adProjCdCanton)</f>
        <v>0</v>
      </c>
      <c r="AI190" s="76">
        <f>SUMIFS(PrdAdBilan!$H:$H,PrdAdBilan!$B:$B,adProjChocS2,PrdAdBilan!$C:$C,adProjScenario,PrdAdBilan!$D:$D,adProjIteration,PrdAdBilan!$G:$G,adProjCdCanton)</f>
        <v>0</v>
      </c>
      <c r="AJ190" s="76">
        <f>SUMIFS(PrdAdBilan!$H:$H,PrdAdBilan!$B:$B,adProjChocS2,PrdAdBilan!$C:$C,adProjScenario,PrdAdBilan!$D:$D,adProjIteration,PrdAdBilan!$G:$G,adProjCdCanton)</f>
        <v>0</v>
      </c>
      <c r="AK190" s="76">
        <f>SUMIFS(PrdAdBilan!$H:$H,PrdAdBilan!$B:$B,adProjChocS2,PrdAdBilan!$C:$C,adProjScenario,PrdAdBilan!$D:$D,adProjIteration,PrdAdBilan!$G:$G,adProjCdCanton)</f>
        <v>0</v>
      </c>
      <c r="AL190" s="76">
        <f>SUMIFS(PrdAdBilan!$H:$H,PrdAdBilan!$B:$B,adProjChocS2,PrdAdBilan!$C:$C,adProjScenario,PrdAdBilan!$D:$D,adProjIteration,PrdAdBilan!$G:$G,adProjCdCanton)</f>
        <v>0</v>
      </c>
      <c r="AM190" s="76">
        <f>SUMIFS(PrdAdBilan!$H:$H,PrdAdBilan!$B:$B,adProjChocS2,PrdAdBilan!$C:$C,adProjScenario,PrdAdBilan!$D:$D,adProjIteration,PrdAdBilan!$G:$G,adProjCdCanton)</f>
        <v>0</v>
      </c>
      <c r="AN190" s="76">
        <f>SUMIFS(PrdAdBilan!$H:$H,PrdAdBilan!$B:$B,adProjChocS2,PrdAdBilan!$C:$C,adProjScenario,PrdAdBilan!$D:$D,adProjIteration,PrdAdBilan!$G:$G,adProjCdCanton)</f>
        <v>0</v>
      </c>
      <c r="AO190" s="76">
        <f>SUMIFS(PrdAdBilan!$H:$H,PrdAdBilan!$B:$B,adProjChocS2,PrdAdBilan!$C:$C,adProjScenario,PrdAdBilan!$D:$D,adProjIteration,PrdAdBilan!$G:$G,adProjCdCanton)</f>
        <v>0</v>
      </c>
      <c r="AP190" s="76">
        <f>SUMIFS(PrdAdBilan!$H:$H,PrdAdBilan!$B:$B,adProjChocS2,PrdAdBilan!$C:$C,adProjScenario,PrdAdBilan!$D:$D,adProjIteration,PrdAdBilan!$G:$G,adProjCdCanton)</f>
        <v>0</v>
      </c>
      <c r="AQ190" s="76">
        <f>SUMIFS(PrdAdBilan!$H:$H,PrdAdBilan!$B:$B,adProjChocS2,PrdAdBilan!$C:$C,adProjScenario,PrdAdBilan!$D:$D,adProjIteration,PrdAdBilan!$G:$G,adProjCdCanton)</f>
        <v>0</v>
      </c>
      <c r="AR190" s="76">
        <f>SUMIFS(PrdAdBilan!$H:$H,PrdAdBilan!$B:$B,adProjChocS2,PrdAdBilan!$C:$C,adProjScenario,PrdAdBilan!$D:$D,adProjIteration,PrdAdBilan!$G:$G,adProjCdCanton)</f>
        <v>0</v>
      </c>
      <c r="AS190" s="76">
        <f>SUMIFS(PrdAdBilan!$H:$H,PrdAdBilan!$B:$B,adProjChocS2,PrdAdBilan!$C:$C,adProjScenario,PrdAdBilan!$D:$D,adProjIteration,PrdAdBilan!$G:$G,adProjCdCanton)</f>
        <v>0</v>
      </c>
      <c r="AT190" s="76">
        <f>SUMIFS(PrdAdBilan!$H:$H,PrdAdBilan!$B:$B,adProjChocS2,PrdAdBilan!$C:$C,adProjScenario,PrdAdBilan!$D:$D,adProjIteration,PrdAdBilan!$G:$G,adProjCdCanton)</f>
        <v>0</v>
      </c>
      <c r="AU190" s="76">
        <f>SUMIFS(PrdAdBilan!$H:$H,PrdAdBilan!$B:$B,adProjChocS2,PrdAdBilan!$C:$C,adProjScenario,PrdAdBilan!$D:$D,adProjIteration,PrdAdBilan!$G:$G,adProjCdCanton)</f>
        <v>0</v>
      </c>
      <c r="AV190" s="76">
        <f>SUMIFS(PrdAdBilan!$H:$H,PrdAdBilan!$B:$B,adProjChocS2,PrdAdBilan!$C:$C,adProjScenario,PrdAdBilan!$D:$D,adProjIteration,PrdAdBilan!$G:$G,adProjCdCanton)</f>
        <v>0</v>
      </c>
      <c r="AW190" s="76">
        <f>SUMIFS(PrdAdBilan!$H:$H,PrdAdBilan!$B:$B,adProjChocS2,PrdAdBilan!$C:$C,adProjScenario,PrdAdBilan!$D:$D,adProjIteration,PrdAdBilan!$G:$G,adProjCdCanton)</f>
        <v>0</v>
      </c>
      <c r="AX190" s="76">
        <f>SUMIFS(PrdAdBilan!$H:$H,PrdAdBilan!$B:$B,adProjChocS2,PrdAdBilan!$C:$C,adProjScenario,PrdAdBilan!$D:$D,adProjIteration,PrdAdBilan!$G:$G,adProjCdCanton)</f>
        <v>0</v>
      </c>
      <c r="AY190" s="76">
        <f>SUMIFS(PrdAdBilan!$H:$H,PrdAdBilan!$B:$B,adProjChocS2,PrdAdBilan!$C:$C,adProjScenario,PrdAdBilan!$D:$D,adProjIteration,PrdAdBilan!$G:$G,adProjCdCanton)</f>
        <v>0</v>
      </c>
      <c r="AZ190" s="76">
        <f>SUMIFS(PrdAdBilan!$H:$H,PrdAdBilan!$B:$B,adProjChocS2,PrdAdBilan!$C:$C,adProjScenario,PrdAdBilan!$D:$D,adProjIteration,PrdAdBilan!$G:$G,adProjCdCanton)</f>
        <v>0</v>
      </c>
      <c r="BA190" s="76">
        <f>SUMIFS(PrdAdBilan!$H:$H,PrdAdBilan!$B:$B,adProjChocS2,PrdAdBilan!$C:$C,adProjScenario,PrdAdBilan!$D:$D,adProjIteration,PrdAdBilan!$G:$G,adProjCdCanton)</f>
        <v>0</v>
      </c>
      <c r="BB190" s="76">
        <f>SUMIFS(PrdAdBilan!$H:$H,PrdAdBilan!$B:$B,adProjChocS2,PrdAdBilan!$C:$C,adProjScenario,PrdAdBilan!$D:$D,adProjIteration,PrdAdBilan!$G:$G,adProjCdCanton)</f>
        <v>0</v>
      </c>
    </row>
    <row r="191" spans="1:54" ht="16.5" x14ac:dyDescent="0.3">
      <c r="B191" s="74"/>
      <c r="C191" s="77" t="s">
        <v>78</v>
      </c>
      <c r="D191" s="76">
        <f>SUMIFS(PrdAdBilan!$I:$I,PrdAdBilan!$B:$B,adProjChocS2,PrdAdBilan!$C:$C,adProjScenario,PrdAdBilan!$D:$D,adProjIteration,PrdAdBilan!$G:$G,adProjCdCanton)</f>
        <v>0</v>
      </c>
      <c r="E191" s="76">
        <f>SUMIFS(PrdAdBilan!$I:$I,PrdAdBilan!$B:$B,adProjChocS2,PrdAdBilan!$C:$C,adProjScenario,PrdAdBilan!$D:$D,adProjIteration,PrdAdBilan!$G:$G,adProjCdCanton)</f>
        <v>0</v>
      </c>
      <c r="F191" s="76">
        <f>SUMIFS(PrdAdBilan!$I:$I,PrdAdBilan!$B:$B,adProjChocS2,PrdAdBilan!$C:$C,adProjScenario,PrdAdBilan!$D:$D,adProjIteration,PrdAdBilan!$G:$G,adProjCdCanton)</f>
        <v>0</v>
      </c>
      <c r="G191" s="76">
        <f>SUMIFS(PrdAdBilan!$I:$I,PrdAdBilan!$B:$B,adProjChocS2,PrdAdBilan!$C:$C,adProjScenario,PrdAdBilan!$D:$D,adProjIteration,PrdAdBilan!$G:$G,adProjCdCanton)</f>
        <v>0</v>
      </c>
      <c r="H191" s="76">
        <f>SUMIFS(PrdAdBilan!$I:$I,PrdAdBilan!$B:$B,adProjChocS2,PrdAdBilan!$C:$C,adProjScenario,PrdAdBilan!$D:$D,adProjIteration,PrdAdBilan!$G:$G,adProjCdCanton)</f>
        <v>0</v>
      </c>
      <c r="I191" s="76">
        <f>SUMIFS(PrdAdBilan!$I:$I,PrdAdBilan!$B:$B,adProjChocS2,PrdAdBilan!$C:$C,adProjScenario,PrdAdBilan!$D:$D,adProjIteration,PrdAdBilan!$G:$G,adProjCdCanton)</f>
        <v>0</v>
      </c>
      <c r="J191" s="76">
        <f>SUMIFS(PrdAdBilan!$I:$I,PrdAdBilan!$B:$B,adProjChocS2,PrdAdBilan!$C:$C,adProjScenario,PrdAdBilan!$D:$D,adProjIteration,PrdAdBilan!$G:$G,adProjCdCanton)</f>
        <v>0</v>
      </c>
      <c r="K191" s="76">
        <f>SUMIFS(PrdAdBilan!$I:$I,PrdAdBilan!$B:$B,adProjChocS2,PrdAdBilan!$C:$C,adProjScenario,PrdAdBilan!$D:$D,adProjIteration,PrdAdBilan!$G:$G,adProjCdCanton)</f>
        <v>0</v>
      </c>
      <c r="L191" s="76">
        <f>SUMIFS(PrdAdBilan!$I:$I,PrdAdBilan!$B:$B,adProjChocS2,PrdAdBilan!$C:$C,adProjScenario,PrdAdBilan!$D:$D,adProjIteration,PrdAdBilan!$G:$G,adProjCdCanton)</f>
        <v>0</v>
      </c>
      <c r="M191" s="76">
        <f>SUMIFS(PrdAdBilan!$I:$I,PrdAdBilan!$B:$B,adProjChocS2,PrdAdBilan!$C:$C,adProjScenario,PrdAdBilan!$D:$D,adProjIteration,PrdAdBilan!$G:$G,adProjCdCanton)</f>
        <v>0</v>
      </c>
      <c r="N191" s="76">
        <f>SUMIFS(PrdAdBilan!$I:$I,PrdAdBilan!$B:$B,adProjChocS2,PrdAdBilan!$C:$C,adProjScenario,PrdAdBilan!$D:$D,adProjIteration,PrdAdBilan!$G:$G,adProjCdCanton)</f>
        <v>0</v>
      </c>
      <c r="O191" s="76">
        <f>SUMIFS(PrdAdBilan!$I:$I,PrdAdBilan!$B:$B,adProjChocS2,PrdAdBilan!$C:$C,adProjScenario,PrdAdBilan!$D:$D,adProjIteration,PrdAdBilan!$G:$G,adProjCdCanton)</f>
        <v>0</v>
      </c>
      <c r="P191" s="76">
        <f>SUMIFS(PrdAdBilan!$I:$I,PrdAdBilan!$B:$B,adProjChocS2,PrdAdBilan!$C:$C,adProjScenario,PrdAdBilan!$D:$D,adProjIteration,PrdAdBilan!$G:$G,adProjCdCanton)</f>
        <v>0</v>
      </c>
      <c r="Q191" s="76">
        <f>SUMIFS(PrdAdBilan!$I:$I,PrdAdBilan!$B:$B,adProjChocS2,PrdAdBilan!$C:$C,adProjScenario,PrdAdBilan!$D:$D,adProjIteration,PrdAdBilan!$G:$G,adProjCdCanton)</f>
        <v>0</v>
      </c>
      <c r="R191" s="76">
        <f>SUMIFS(PrdAdBilan!$I:$I,PrdAdBilan!$B:$B,adProjChocS2,PrdAdBilan!$C:$C,adProjScenario,PrdAdBilan!$D:$D,adProjIteration,PrdAdBilan!$G:$G,adProjCdCanton)</f>
        <v>0</v>
      </c>
      <c r="S191" s="76">
        <f>SUMIFS(PrdAdBilan!$I:$I,PrdAdBilan!$B:$B,adProjChocS2,PrdAdBilan!$C:$C,adProjScenario,PrdAdBilan!$D:$D,adProjIteration,PrdAdBilan!$G:$G,adProjCdCanton)</f>
        <v>0</v>
      </c>
      <c r="T191" s="76">
        <f>SUMIFS(PrdAdBilan!$I:$I,PrdAdBilan!$B:$B,adProjChocS2,PrdAdBilan!$C:$C,adProjScenario,PrdAdBilan!$D:$D,adProjIteration,PrdAdBilan!$G:$G,adProjCdCanton)</f>
        <v>0</v>
      </c>
      <c r="U191" s="76">
        <f>SUMIFS(PrdAdBilan!$I:$I,PrdAdBilan!$B:$B,adProjChocS2,PrdAdBilan!$C:$C,adProjScenario,PrdAdBilan!$D:$D,adProjIteration,PrdAdBilan!$G:$G,adProjCdCanton)</f>
        <v>0</v>
      </c>
      <c r="V191" s="76">
        <f>SUMIFS(PrdAdBilan!$I:$I,PrdAdBilan!$B:$B,adProjChocS2,PrdAdBilan!$C:$C,adProjScenario,PrdAdBilan!$D:$D,adProjIteration,PrdAdBilan!$G:$G,adProjCdCanton)</f>
        <v>0</v>
      </c>
      <c r="W191" s="76">
        <f>SUMIFS(PrdAdBilan!$I:$I,PrdAdBilan!$B:$B,adProjChocS2,PrdAdBilan!$C:$C,adProjScenario,PrdAdBilan!$D:$D,adProjIteration,PrdAdBilan!$G:$G,adProjCdCanton)</f>
        <v>0</v>
      </c>
      <c r="X191" s="76">
        <f>SUMIFS(PrdAdBilan!$I:$I,PrdAdBilan!$B:$B,adProjChocS2,PrdAdBilan!$C:$C,adProjScenario,PrdAdBilan!$D:$D,adProjIteration,PrdAdBilan!$G:$G,adProjCdCanton)</f>
        <v>0</v>
      </c>
      <c r="Y191" s="76">
        <f>SUMIFS(PrdAdBilan!$I:$I,PrdAdBilan!$B:$B,adProjChocS2,PrdAdBilan!$C:$C,adProjScenario,PrdAdBilan!$D:$D,adProjIteration,PrdAdBilan!$G:$G,adProjCdCanton)</f>
        <v>0</v>
      </c>
      <c r="Z191" s="76">
        <f>SUMIFS(PrdAdBilan!$I:$I,PrdAdBilan!$B:$B,adProjChocS2,PrdAdBilan!$C:$C,adProjScenario,PrdAdBilan!$D:$D,adProjIteration,PrdAdBilan!$G:$G,adProjCdCanton)</f>
        <v>0</v>
      </c>
      <c r="AA191" s="76">
        <f>SUMIFS(PrdAdBilan!$I:$I,PrdAdBilan!$B:$B,adProjChocS2,PrdAdBilan!$C:$C,adProjScenario,PrdAdBilan!$D:$D,adProjIteration,PrdAdBilan!$G:$G,adProjCdCanton)</f>
        <v>0</v>
      </c>
      <c r="AB191" s="76">
        <f>SUMIFS(PrdAdBilan!$I:$I,PrdAdBilan!$B:$B,adProjChocS2,PrdAdBilan!$C:$C,adProjScenario,PrdAdBilan!$D:$D,adProjIteration,PrdAdBilan!$G:$G,adProjCdCanton)</f>
        <v>0</v>
      </c>
      <c r="AC191" s="76">
        <f>SUMIFS(PrdAdBilan!$I:$I,PrdAdBilan!$B:$B,adProjChocS2,PrdAdBilan!$C:$C,adProjScenario,PrdAdBilan!$D:$D,adProjIteration,PrdAdBilan!$G:$G,adProjCdCanton)</f>
        <v>0</v>
      </c>
      <c r="AD191" s="76">
        <f>SUMIFS(PrdAdBilan!$I:$I,PrdAdBilan!$B:$B,adProjChocS2,PrdAdBilan!$C:$C,adProjScenario,PrdAdBilan!$D:$D,adProjIteration,PrdAdBilan!$G:$G,adProjCdCanton)</f>
        <v>0</v>
      </c>
      <c r="AE191" s="76">
        <f>SUMIFS(PrdAdBilan!$I:$I,PrdAdBilan!$B:$B,adProjChocS2,PrdAdBilan!$C:$C,adProjScenario,PrdAdBilan!$D:$D,adProjIteration,PrdAdBilan!$G:$G,adProjCdCanton)</f>
        <v>0</v>
      </c>
      <c r="AF191" s="76">
        <f>SUMIFS(PrdAdBilan!$I:$I,PrdAdBilan!$B:$B,adProjChocS2,PrdAdBilan!$C:$C,adProjScenario,PrdAdBilan!$D:$D,adProjIteration,PrdAdBilan!$G:$G,adProjCdCanton)</f>
        <v>0</v>
      </c>
      <c r="AG191" s="76">
        <f>SUMIFS(PrdAdBilan!$I:$I,PrdAdBilan!$B:$B,adProjChocS2,PrdAdBilan!$C:$C,adProjScenario,PrdAdBilan!$D:$D,adProjIteration,PrdAdBilan!$G:$G,adProjCdCanton)</f>
        <v>0</v>
      </c>
      <c r="AH191" s="76">
        <f>SUMIFS(PrdAdBilan!$I:$I,PrdAdBilan!$B:$B,adProjChocS2,PrdAdBilan!$C:$C,adProjScenario,PrdAdBilan!$D:$D,adProjIteration,PrdAdBilan!$G:$G,adProjCdCanton)</f>
        <v>0</v>
      </c>
      <c r="AI191" s="76">
        <f>SUMIFS(PrdAdBilan!$I:$I,PrdAdBilan!$B:$B,adProjChocS2,PrdAdBilan!$C:$C,adProjScenario,PrdAdBilan!$D:$D,adProjIteration,PrdAdBilan!$G:$G,adProjCdCanton)</f>
        <v>0</v>
      </c>
      <c r="AJ191" s="76">
        <f>SUMIFS(PrdAdBilan!$I:$I,PrdAdBilan!$B:$B,adProjChocS2,PrdAdBilan!$C:$C,adProjScenario,PrdAdBilan!$D:$D,adProjIteration,PrdAdBilan!$G:$G,adProjCdCanton)</f>
        <v>0</v>
      </c>
      <c r="AK191" s="76">
        <f>SUMIFS(PrdAdBilan!$I:$I,PrdAdBilan!$B:$B,adProjChocS2,PrdAdBilan!$C:$C,adProjScenario,PrdAdBilan!$D:$D,adProjIteration,PrdAdBilan!$G:$G,adProjCdCanton)</f>
        <v>0</v>
      </c>
      <c r="AL191" s="76">
        <f>SUMIFS(PrdAdBilan!$I:$I,PrdAdBilan!$B:$B,adProjChocS2,PrdAdBilan!$C:$C,adProjScenario,PrdAdBilan!$D:$D,adProjIteration,PrdAdBilan!$G:$G,adProjCdCanton)</f>
        <v>0</v>
      </c>
      <c r="AM191" s="76">
        <f>SUMIFS(PrdAdBilan!$I:$I,PrdAdBilan!$B:$B,adProjChocS2,PrdAdBilan!$C:$C,adProjScenario,PrdAdBilan!$D:$D,adProjIteration,PrdAdBilan!$G:$G,adProjCdCanton)</f>
        <v>0</v>
      </c>
      <c r="AN191" s="76">
        <f>SUMIFS(PrdAdBilan!$I:$I,PrdAdBilan!$B:$B,adProjChocS2,PrdAdBilan!$C:$C,adProjScenario,PrdAdBilan!$D:$D,adProjIteration,PrdAdBilan!$G:$G,adProjCdCanton)</f>
        <v>0</v>
      </c>
      <c r="AO191" s="76">
        <f>SUMIFS(PrdAdBilan!$I:$I,PrdAdBilan!$B:$B,adProjChocS2,PrdAdBilan!$C:$C,adProjScenario,PrdAdBilan!$D:$D,adProjIteration,PrdAdBilan!$G:$G,adProjCdCanton)</f>
        <v>0</v>
      </c>
      <c r="AP191" s="76">
        <f>SUMIFS(PrdAdBilan!$I:$I,PrdAdBilan!$B:$B,adProjChocS2,PrdAdBilan!$C:$C,adProjScenario,PrdAdBilan!$D:$D,adProjIteration,PrdAdBilan!$G:$G,adProjCdCanton)</f>
        <v>0</v>
      </c>
      <c r="AQ191" s="76">
        <f>SUMIFS(PrdAdBilan!$I:$I,PrdAdBilan!$B:$B,adProjChocS2,PrdAdBilan!$C:$C,adProjScenario,PrdAdBilan!$D:$D,adProjIteration,PrdAdBilan!$G:$G,adProjCdCanton)</f>
        <v>0</v>
      </c>
      <c r="AR191" s="76">
        <f>SUMIFS(PrdAdBilan!$I:$I,PrdAdBilan!$B:$B,adProjChocS2,PrdAdBilan!$C:$C,adProjScenario,PrdAdBilan!$D:$D,adProjIteration,PrdAdBilan!$G:$G,adProjCdCanton)</f>
        <v>0</v>
      </c>
      <c r="AS191" s="76">
        <f>SUMIFS(PrdAdBilan!$I:$I,PrdAdBilan!$B:$B,adProjChocS2,PrdAdBilan!$C:$C,adProjScenario,PrdAdBilan!$D:$D,adProjIteration,PrdAdBilan!$G:$G,adProjCdCanton)</f>
        <v>0</v>
      </c>
      <c r="AT191" s="76">
        <f>SUMIFS(PrdAdBilan!$I:$I,PrdAdBilan!$B:$B,adProjChocS2,PrdAdBilan!$C:$C,adProjScenario,PrdAdBilan!$D:$D,adProjIteration,PrdAdBilan!$G:$G,adProjCdCanton)</f>
        <v>0</v>
      </c>
      <c r="AU191" s="76">
        <f>SUMIFS(PrdAdBilan!$I:$I,PrdAdBilan!$B:$B,adProjChocS2,PrdAdBilan!$C:$C,adProjScenario,PrdAdBilan!$D:$D,adProjIteration,PrdAdBilan!$G:$G,adProjCdCanton)</f>
        <v>0</v>
      </c>
      <c r="AV191" s="76">
        <f>SUMIFS(PrdAdBilan!$I:$I,PrdAdBilan!$B:$B,adProjChocS2,PrdAdBilan!$C:$C,adProjScenario,PrdAdBilan!$D:$D,adProjIteration,PrdAdBilan!$G:$G,adProjCdCanton)</f>
        <v>0</v>
      </c>
      <c r="AW191" s="76">
        <f>SUMIFS(PrdAdBilan!$I:$I,PrdAdBilan!$B:$B,adProjChocS2,PrdAdBilan!$C:$C,adProjScenario,PrdAdBilan!$D:$D,adProjIteration,PrdAdBilan!$G:$G,adProjCdCanton)</f>
        <v>0</v>
      </c>
      <c r="AX191" s="76">
        <f>SUMIFS(PrdAdBilan!$I:$I,PrdAdBilan!$B:$B,adProjChocS2,PrdAdBilan!$C:$C,adProjScenario,PrdAdBilan!$D:$D,adProjIteration,PrdAdBilan!$G:$G,adProjCdCanton)</f>
        <v>0</v>
      </c>
      <c r="AY191" s="76">
        <f>SUMIFS(PrdAdBilan!$I:$I,PrdAdBilan!$B:$B,adProjChocS2,PrdAdBilan!$C:$C,adProjScenario,PrdAdBilan!$D:$D,adProjIteration,PrdAdBilan!$G:$G,adProjCdCanton)</f>
        <v>0</v>
      </c>
      <c r="AZ191" s="76">
        <f>SUMIFS(PrdAdBilan!$I:$I,PrdAdBilan!$B:$B,adProjChocS2,PrdAdBilan!$C:$C,adProjScenario,PrdAdBilan!$D:$D,adProjIteration,PrdAdBilan!$G:$G,adProjCdCanton)</f>
        <v>0</v>
      </c>
      <c r="BA191" s="76">
        <f>SUMIFS(PrdAdBilan!$I:$I,PrdAdBilan!$B:$B,adProjChocS2,PrdAdBilan!$C:$C,adProjScenario,PrdAdBilan!$D:$D,adProjIteration,PrdAdBilan!$G:$G,adProjCdCanton)</f>
        <v>0</v>
      </c>
      <c r="BB191" s="76">
        <f>SUMIFS(PrdAdBilan!$I:$I,PrdAdBilan!$B:$B,adProjChocS2,PrdAdBilan!$C:$C,adProjScenario,PrdAdBilan!$D:$D,adProjIteration,PrdAdBilan!$G:$G,adProjCdCanton)</f>
        <v>0</v>
      </c>
    </row>
    <row r="192" spans="1:54" ht="16.5" x14ac:dyDescent="0.3">
      <c r="B192" s="74"/>
      <c r="C192" s="77" t="s">
        <v>152</v>
      </c>
      <c r="D192" s="76">
        <f>SUMIFS(PrdAdBilan!$J:$J,PrdAdBilan!$B:$B,adProjChocS2,PrdAdBilan!$C:$C,adProjScenario,PrdAdBilan!$D:$D,adProjIteration,PrdAdBilan!$G:$G,adProjCdCanton)</f>
        <v>0</v>
      </c>
      <c r="E192" s="76">
        <f>SUMIFS(PrdAdBilan!$J:$J,PrdAdBilan!$B:$B,adProjChocS2,PrdAdBilan!$C:$C,adProjScenario,PrdAdBilan!$D:$D,adProjIteration,PrdAdBilan!$G:$G,adProjCdCanton)</f>
        <v>0</v>
      </c>
      <c r="F192" s="76">
        <f>SUMIFS(PrdAdBilan!$J:$J,PrdAdBilan!$B:$B,adProjChocS2,PrdAdBilan!$C:$C,adProjScenario,PrdAdBilan!$D:$D,adProjIteration,PrdAdBilan!$G:$G,adProjCdCanton)</f>
        <v>0</v>
      </c>
      <c r="G192" s="76">
        <f>SUMIFS(PrdAdBilan!$J:$J,PrdAdBilan!$B:$B,adProjChocS2,PrdAdBilan!$C:$C,adProjScenario,PrdAdBilan!$D:$D,adProjIteration,PrdAdBilan!$G:$G,adProjCdCanton)</f>
        <v>0</v>
      </c>
      <c r="H192" s="76">
        <f>SUMIFS(PrdAdBilan!$J:$J,PrdAdBilan!$B:$B,adProjChocS2,PrdAdBilan!$C:$C,adProjScenario,PrdAdBilan!$D:$D,adProjIteration,PrdAdBilan!$G:$G,adProjCdCanton)</f>
        <v>0</v>
      </c>
      <c r="I192" s="76">
        <f>SUMIFS(PrdAdBilan!$J:$J,PrdAdBilan!$B:$B,adProjChocS2,PrdAdBilan!$C:$C,adProjScenario,PrdAdBilan!$D:$D,adProjIteration,PrdAdBilan!$G:$G,adProjCdCanton)</f>
        <v>0</v>
      </c>
      <c r="J192" s="76">
        <f>SUMIFS(PrdAdBilan!$J:$J,PrdAdBilan!$B:$B,adProjChocS2,PrdAdBilan!$C:$C,adProjScenario,PrdAdBilan!$D:$D,adProjIteration,PrdAdBilan!$G:$G,adProjCdCanton)</f>
        <v>0</v>
      </c>
      <c r="K192" s="76">
        <f>SUMIFS(PrdAdBilan!$J:$J,PrdAdBilan!$B:$B,adProjChocS2,PrdAdBilan!$C:$C,adProjScenario,PrdAdBilan!$D:$D,adProjIteration,PrdAdBilan!$G:$G,adProjCdCanton)</f>
        <v>0</v>
      </c>
      <c r="L192" s="76">
        <f>SUMIFS(PrdAdBilan!$J:$J,PrdAdBilan!$B:$B,adProjChocS2,PrdAdBilan!$C:$C,adProjScenario,PrdAdBilan!$D:$D,adProjIteration,PrdAdBilan!$G:$G,adProjCdCanton)</f>
        <v>0</v>
      </c>
      <c r="M192" s="76">
        <f>SUMIFS(PrdAdBilan!$J:$J,PrdAdBilan!$B:$B,adProjChocS2,PrdAdBilan!$C:$C,adProjScenario,PrdAdBilan!$D:$D,adProjIteration,PrdAdBilan!$G:$G,adProjCdCanton)</f>
        <v>0</v>
      </c>
      <c r="N192" s="76">
        <f>SUMIFS(PrdAdBilan!$J:$J,PrdAdBilan!$B:$B,adProjChocS2,PrdAdBilan!$C:$C,adProjScenario,PrdAdBilan!$D:$D,adProjIteration,PrdAdBilan!$G:$G,adProjCdCanton)</f>
        <v>0</v>
      </c>
      <c r="O192" s="76">
        <f>SUMIFS(PrdAdBilan!$J:$J,PrdAdBilan!$B:$B,adProjChocS2,PrdAdBilan!$C:$C,adProjScenario,PrdAdBilan!$D:$D,adProjIteration,PrdAdBilan!$G:$G,adProjCdCanton)</f>
        <v>0</v>
      </c>
      <c r="P192" s="76">
        <f>SUMIFS(PrdAdBilan!$J:$J,PrdAdBilan!$B:$B,adProjChocS2,PrdAdBilan!$C:$C,adProjScenario,PrdAdBilan!$D:$D,adProjIteration,PrdAdBilan!$G:$G,adProjCdCanton)</f>
        <v>0</v>
      </c>
      <c r="Q192" s="76">
        <f>SUMIFS(PrdAdBilan!$J:$J,PrdAdBilan!$B:$B,adProjChocS2,PrdAdBilan!$C:$C,adProjScenario,PrdAdBilan!$D:$D,adProjIteration,PrdAdBilan!$G:$G,adProjCdCanton)</f>
        <v>0</v>
      </c>
      <c r="R192" s="76">
        <f>SUMIFS(PrdAdBilan!$J:$J,PrdAdBilan!$B:$B,adProjChocS2,PrdAdBilan!$C:$C,adProjScenario,PrdAdBilan!$D:$D,adProjIteration,PrdAdBilan!$G:$G,adProjCdCanton)</f>
        <v>0</v>
      </c>
      <c r="S192" s="76">
        <f>SUMIFS(PrdAdBilan!$J:$J,PrdAdBilan!$B:$B,adProjChocS2,PrdAdBilan!$C:$C,adProjScenario,PrdAdBilan!$D:$D,adProjIteration,PrdAdBilan!$G:$G,adProjCdCanton)</f>
        <v>0</v>
      </c>
      <c r="T192" s="76">
        <f>SUMIFS(PrdAdBilan!$J:$J,PrdAdBilan!$B:$B,adProjChocS2,PrdAdBilan!$C:$C,adProjScenario,PrdAdBilan!$D:$D,adProjIteration,PrdAdBilan!$G:$G,adProjCdCanton)</f>
        <v>0</v>
      </c>
      <c r="U192" s="76">
        <f>SUMIFS(PrdAdBilan!$J:$J,PrdAdBilan!$B:$B,adProjChocS2,PrdAdBilan!$C:$C,adProjScenario,PrdAdBilan!$D:$D,adProjIteration,PrdAdBilan!$G:$G,adProjCdCanton)</f>
        <v>0</v>
      </c>
      <c r="V192" s="76">
        <f>SUMIFS(PrdAdBilan!$J:$J,PrdAdBilan!$B:$B,adProjChocS2,PrdAdBilan!$C:$C,adProjScenario,PrdAdBilan!$D:$D,adProjIteration,PrdAdBilan!$G:$G,adProjCdCanton)</f>
        <v>0</v>
      </c>
      <c r="W192" s="76">
        <f>SUMIFS(PrdAdBilan!$J:$J,PrdAdBilan!$B:$B,adProjChocS2,PrdAdBilan!$C:$C,adProjScenario,PrdAdBilan!$D:$D,adProjIteration,PrdAdBilan!$G:$G,adProjCdCanton)</f>
        <v>0</v>
      </c>
      <c r="X192" s="76">
        <f>SUMIFS(PrdAdBilan!$J:$J,PrdAdBilan!$B:$B,adProjChocS2,PrdAdBilan!$C:$C,adProjScenario,PrdAdBilan!$D:$D,adProjIteration,PrdAdBilan!$G:$G,adProjCdCanton)</f>
        <v>0</v>
      </c>
      <c r="Y192" s="76">
        <f>SUMIFS(PrdAdBilan!$J:$J,PrdAdBilan!$B:$B,adProjChocS2,PrdAdBilan!$C:$C,adProjScenario,PrdAdBilan!$D:$D,adProjIteration,PrdAdBilan!$G:$G,adProjCdCanton)</f>
        <v>0</v>
      </c>
      <c r="Z192" s="76">
        <f>SUMIFS(PrdAdBilan!$J:$J,PrdAdBilan!$B:$B,adProjChocS2,PrdAdBilan!$C:$C,adProjScenario,PrdAdBilan!$D:$D,adProjIteration,PrdAdBilan!$G:$G,adProjCdCanton)</f>
        <v>0</v>
      </c>
      <c r="AA192" s="76">
        <f>SUMIFS(PrdAdBilan!$J:$J,PrdAdBilan!$B:$B,adProjChocS2,PrdAdBilan!$C:$C,adProjScenario,PrdAdBilan!$D:$D,adProjIteration,PrdAdBilan!$G:$G,adProjCdCanton)</f>
        <v>0</v>
      </c>
      <c r="AB192" s="76">
        <f>SUMIFS(PrdAdBilan!$J:$J,PrdAdBilan!$B:$B,adProjChocS2,PrdAdBilan!$C:$C,adProjScenario,PrdAdBilan!$D:$D,adProjIteration,PrdAdBilan!$G:$G,adProjCdCanton)</f>
        <v>0</v>
      </c>
      <c r="AC192" s="76">
        <f>SUMIFS(PrdAdBilan!$J:$J,PrdAdBilan!$B:$B,adProjChocS2,PrdAdBilan!$C:$C,adProjScenario,PrdAdBilan!$D:$D,adProjIteration,PrdAdBilan!$G:$G,adProjCdCanton)</f>
        <v>0</v>
      </c>
      <c r="AD192" s="76">
        <f>SUMIFS(PrdAdBilan!$J:$J,PrdAdBilan!$B:$B,adProjChocS2,PrdAdBilan!$C:$C,adProjScenario,PrdAdBilan!$D:$D,adProjIteration,PrdAdBilan!$G:$G,adProjCdCanton)</f>
        <v>0</v>
      </c>
      <c r="AE192" s="76">
        <f>SUMIFS(PrdAdBilan!$J:$J,PrdAdBilan!$B:$B,adProjChocS2,PrdAdBilan!$C:$C,adProjScenario,PrdAdBilan!$D:$D,adProjIteration,PrdAdBilan!$G:$G,adProjCdCanton)</f>
        <v>0</v>
      </c>
      <c r="AF192" s="76">
        <f>SUMIFS(PrdAdBilan!$J:$J,PrdAdBilan!$B:$B,adProjChocS2,PrdAdBilan!$C:$C,adProjScenario,PrdAdBilan!$D:$D,adProjIteration,PrdAdBilan!$G:$G,adProjCdCanton)</f>
        <v>0</v>
      </c>
      <c r="AG192" s="76">
        <f>SUMIFS(PrdAdBilan!$J:$J,PrdAdBilan!$B:$B,adProjChocS2,PrdAdBilan!$C:$C,adProjScenario,PrdAdBilan!$D:$D,adProjIteration,PrdAdBilan!$G:$G,adProjCdCanton)</f>
        <v>0</v>
      </c>
      <c r="AH192" s="76">
        <f>SUMIFS(PrdAdBilan!$J:$J,PrdAdBilan!$B:$B,adProjChocS2,PrdAdBilan!$C:$C,adProjScenario,PrdAdBilan!$D:$D,adProjIteration,PrdAdBilan!$G:$G,adProjCdCanton)</f>
        <v>0</v>
      </c>
      <c r="AI192" s="76">
        <f>SUMIFS(PrdAdBilan!$J:$J,PrdAdBilan!$B:$B,adProjChocS2,PrdAdBilan!$C:$C,adProjScenario,PrdAdBilan!$D:$D,adProjIteration,PrdAdBilan!$G:$G,adProjCdCanton)</f>
        <v>0</v>
      </c>
      <c r="AJ192" s="76">
        <f>SUMIFS(PrdAdBilan!$J:$J,PrdAdBilan!$B:$B,adProjChocS2,PrdAdBilan!$C:$C,adProjScenario,PrdAdBilan!$D:$D,adProjIteration,PrdAdBilan!$G:$G,adProjCdCanton)</f>
        <v>0</v>
      </c>
      <c r="AK192" s="76">
        <f>SUMIFS(PrdAdBilan!$J:$J,PrdAdBilan!$B:$B,adProjChocS2,PrdAdBilan!$C:$C,adProjScenario,PrdAdBilan!$D:$D,adProjIteration,PrdAdBilan!$G:$G,adProjCdCanton)</f>
        <v>0</v>
      </c>
      <c r="AL192" s="76">
        <f>SUMIFS(PrdAdBilan!$J:$J,PrdAdBilan!$B:$B,adProjChocS2,PrdAdBilan!$C:$C,adProjScenario,PrdAdBilan!$D:$D,adProjIteration,PrdAdBilan!$G:$G,adProjCdCanton)</f>
        <v>0</v>
      </c>
      <c r="AM192" s="76">
        <f>SUMIFS(PrdAdBilan!$J:$J,PrdAdBilan!$B:$B,adProjChocS2,PrdAdBilan!$C:$C,adProjScenario,PrdAdBilan!$D:$D,adProjIteration,PrdAdBilan!$G:$G,adProjCdCanton)</f>
        <v>0</v>
      </c>
      <c r="AN192" s="76">
        <f>SUMIFS(PrdAdBilan!$J:$J,PrdAdBilan!$B:$B,adProjChocS2,PrdAdBilan!$C:$C,adProjScenario,PrdAdBilan!$D:$D,adProjIteration,PrdAdBilan!$G:$G,adProjCdCanton)</f>
        <v>0</v>
      </c>
      <c r="AO192" s="76">
        <f>SUMIFS(PrdAdBilan!$J:$J,PrdAdBilan!$B:$B,adProjChocS2,PrdAdBilan!$C:$C,adProjScenario,PrdAdBilan!$D:$D,adProjIteration,PrdAdBilan!$G:$G,adProjCdCanton)</f>
        <v>0</v>
      </c>
      <c r="AP192" s="76">
        <f>SUMIFS(PrdAdBilan!$J:$J,PrdAdBilan!$B:$B,adProjChocS2,PrdAdBilan!$C:$C,adProjScenario,PrdAdBilan!$D:$D,adProjIteration,PrdAdBilan!$G:$G,adProjCdCanton)</f>
        <v>0</v>
      </c>
      <c r="AQ192" s="76">
        <f>SUMIFS(PrdAdBilan!$J:$J,PrdAdBilan!$B:$B,adProjChocS2,PrdAdBilan!$C:$C,adProjScenario,PrdAdBilan!$D:$D,adProjIteration,PrdAdBilan!$G:$G,adProjCdCanton)</f>
        <v>0</v>
      </c>
      <c r="AR192" s="76">
        <f>SUMIFS(PrdAdBilan!$J:$J,PrdAdBilan!$B:$B,adProjChocS2,PrdAdBilan!$C:$C,adProjScenario,PrdAdBilan!$D:$D,adProjIteration,PrdAdBilan!$G:$G,adProjCdCanton)</f>
        <v>0</v>
      </c>
      <c r="AS192" s="76">
        <f>SUMIFS(PrdAdBilan!$J:$J,PrdAdBilan!$B:$B,adProjChocS2,PrdAdBilan!$C:$C,adProjScenario,PrdAdBilan!$D:$D,adProjIteration,PrdAdBilan!$G:$G,adProjCdCanton)</f>
        <v>0</v>
      </c>
      <c r="AT192" s="76">
        <f>SUMIFS(PrdAdBilan!$J:$J,PrdAdBilan!$B:$B,adProjChocS2,PrdAdBilan!$C:$C,adProjScenario,PrdAdBilan!$D:$D,adProjIteration,PrdAdBilan!$G:$G,adProjCdCanton)</f>
        <v>0</v>
      </c>
      <c r="AU192" s="76">
        <f>SUMIFS(PrdAdBilan!$J:$J,PrdAdBilan!$B:$B,adProjChocS2,PrdAdBilan!$C:$C,adProjScenario,PrdAdBilan!$D:$D,adProjIteration,PrdAdBilan!$G:$G,adProjCdCanton)</f>
        <v>0</v>
      </c>
      <c r="AV192" s="76">
        <f>SUMIFS(PrdAdBilan!$J:$J,PrdAdBilan!$B:$B,adProjChocS2,PrdAdBilan!$C:$C,adProjScenario,PrdAdBilan!$D:$D,adProjIteration,PrdAdBilan!$G:$G,adProjCdCanton)</f>
        <v>0</v>
      </c>
      <c r="AW192" s="76">
        <f>SUMIFS(PrdAdBilan!$J:$J,PrdAdBilan!$B:$B,adProjChocS2,PrdAdBilan!$C:$C,adProjScenario,PrdAdBilan!$D:$D,adProjIteration,PrdAdBilan!$G:$G,adProjCdCanton)</f>
        <v>0</v>
      </c>
      <c r="AX192" s="76">
        <f>SUMIFS(PrdAdBilan!$J:$J,PrdAdBilan!$B:$B,adProjChocS2,PrdAdBilan!$C:$C,adProjScenario,PrdAdBilan!$D:$D,adProjIteration,PrdAdBilan!$G:$G,adProjCdCanton)</f>
        <v>0</v>
      </c>
      <c r="AY192" s="76">
        <f>SUMIFS(PrdAdBilan!$J:$J,PrdAdBilan!$B:$B,adProjChocS2,PrdAdBilan!$C:$C,adProjScenario,PrdAdBilan!$D:$D,adProjIteration,PrdAdBilan!$G:$G,adProjCdCanton)</f>
        <v>0</v>
      </c>
      <c r="AZ192" s="76">
        <f>SUMIFS(PrdAdBilan!$J:$J,PrdAdBilan!$B:$B,adProjChocS2,PrdAdBilan!$C:$C,adProjScenario,PrdAdBilan!$D:$D,adProjIteration,PrdAdBilan!$G:$G,adProjCdCanton)</f>
        <v>0</v>
      </c>
      <c r="BA192" s="76">
        <f>SUMIFS(PrdAdBilan!$J:$J,PrdAdBilan!$B:$B,adProjChocS2,PrdAdBilan!$C:$C,adProjScenario,PrdAdBilan!$D:$D,adProjIteration,PrdAdBilan!$G:$G,adProjCdCanton)</f>
        <v>0</v>
      </c>
      <c r="BB192" s="76">
        <f>SUMIFS(PrdAdBilan!$J:$J,PrdAdBilan!$B:$B,adProjChocS2,PrdAdBilan!$C:$C,adProjScenario,PrdAdBilan!$D:$D,adProjIteration,PrdAdBilan!$G:$G,adProjCdCanton)</f>
        <v>0</v>
      </c>
    </row>
    <row r="193" spans="1:54" ht="16.5" x14ac:dyDescent="0.3">
      <c r="A193" s="16"/>
      <c r="B193" s="74"/>
      <c r="C193" s="77" t="s">
        <v>153</v>
      </c>
      <c r="D193" s="76">
        <f>SUMIFS(PrdAdBilan!$L:$L,PrdAdBilan!$B:$B,adProjChocS2,PrdAdBilan!$C:$C,adProjScenario,PrdAdBilan!$D:$D,adProjIteration,PrdAdBilan!$G:$G,adProjCdCanton)</f>
        <v>0</v>
      </c>
      <c r="E193" s="76">
        <f>SUMIFS(PrdAdBilan!$L:$L,PrdAdBilan!$B:$B,adProjChocS2,PrdAdBilan!$C:$C,adProjScenario,PrdAdBilan!$D:$D,adProjIteration,PrdAdBilan!$G:$G,adProjCdCanton)</f>
        <v>0</v>
      </c>
      <c r="F193" s="76">
        <f>SUMIFS(PrdAdBilan!$L:$L,PrdAdBilan!$B:$B,adProjChocS2,PrdAdBilan!$C:$C,adProjScenario,PrdAdBilan!$D:$D,adProjIteration,PrdAdBilan!$G:$G,adProjCdCanton)</f>
        <v>0</v>
      </c>
      <c r="G193" s="76">
        <f>SUMIFS(PrdAdBilan!$L:$L,PrdAdBilan!$B:$B,adProjChocS2,PrdAdBilan!$C:$C,adProjScenario,PrdAdBilan!$D:$D,adProjIteration,PrdAdBilan!$G:$G,adProjCdCanton)</f>
        <v>0</v>
      </c>
      <c r="H193" s="76">
        <f>SUMIFS(PrdAdBilan!$L:$L,PrdAdBilan!$B:$B,adProjChocS2,PrdAdBilan!$C:$C,adProjScenario,PrdAdBilan!$D:$D,adProjIteration,PrdAdBilan!$G:$G,adProjCdCanton)</f>
        <v>0</v>
      </c>
      <c r="I193" s="76">
        <f>SUMIFS(PrdAdBilan!$L:$L,PrdAdBilan!$B:$B,adProjChocS2,PrdAdBilan!$C:$C,adProjScenario,PrdAdBilan!$D:$D,adProjIteration,PrdAdBilan!$G:$G,adProjCdCanton)</f>
        <v>0</v>
      </c>
      <c r="J193" s="76">
        <f>SUMIFS(PrdAdBilan!$L:$L,PrdAdBilan!$B:$B,adProjChocS2,PrdAdBilan!$C:$C,adProjScenario,PrdAdBilan!$D:$D,adProjIteration,PrdAdBilan!$G:$G,adProjCdCanton)</f>
        <v>0</v>
      </c>
      <c r="K193" s="76">
        <f>SUMIFS(PrdAdBilan!$L:$L,PrdAdBilan!$B:$B,adProjChocS2,PrdAdBilan!$C:$C,adProjScenario,PrdAdBilan!$D:$D,adProjIteration,PrdAdBilan!$G:$G,adProjCdCanton)</f>
        <v>0</v>
      </c>
      <c r="L193" s="76">
        <f>SUMIFS(PrdAdBilan!$L:$L,PrdAdBilan!$B:$B,adProjChocS2,PrdAdBilan!$C:$C,adProjScenario,PrdAdBilan!$D:$D,adProjIteration,PrdAdBilan!$G:$G,adProjCdCanton)</f>
        <v>0</v>
      </c>
      <c r="M193" s="76">
        <f>SUMIFS(PrdAdBilan!$L:$L,PrdAdBilan!$B:$B,adProjChocS2,PrdAdBilan!$C:$C,adProjScenario,PrdAdBilan!$D:$D,adProjIteration,PrdAdBilan!$G:$G,adProjCdCanton)</f>
        <v>0</v>
      </c>
      <c r="N193" s="76">
        <f>SUMIFS(PrdAdBilan!$L:$L,PrdAdBilan!$B:$B,adProjChocS2,PrdAdBilan!$C:$C,adProjScenario,PrdAdBilan!$D:$D,adProjIteration,PrdAdBilan!$G:$G,adProjCdCanton)</f>
        <v>0</v>
      </c>
      <c r="O193" s="76">
        <f>SUMIFS(PrdAdBilan!$L:$L,PrdAdBilan!$B:$B,adProjChocS2,PrdAdBilan!$C:$C,adProjScenario,PrdAdBilan!$D:$D,adProjIteration,PrdAdBilan!$G:$G,adProjCdCanton)</f>
        <v>0</v>
      </c>
      <c r="P193" s="76">
        <f>SUMIFS(PrdAdBilan!$L:$L,PrdAdBilan!$B:$B,adProjChocS2,PrdAdBilan!$C:$C,adProjScenario,PrdAdBilan!$D:$D,adProjIteration,PrdAdBilan!$G:$G,adProjCdCanton)</f>
        <v>0</v>
      </c>
      <c r="Q193" s="76">
        <f>SUMIFS(PrdAdBilan!$L:$L,PrdAdBilan!$B:$B,adProjChocS2,PrdAdBilan!$C:$C,adProjScenario,PrdAdBilan!$D:$D,adProjIteration,PrdAdBilan!$G:$G,adProjCdCanton)</f>
        <v>0</v>
      </c>
      <c r="R193" s="76">
        <f>SUMIFS(PrdAdBilan!$L:$L,PrdAdBilan!$B:$B,adProjChocS2,PrdAdBilan!$C:$C,adProjScenario,PrdAdBilan!$D:$D,adProjIteration,PrdAdBilan!$G:$G,adProjCdCanton)</f>
        <v>0</v>
      </c>
      <c r="S193" s="76">
        <f>SUMIFS(PrdAdBilan!$L:$L,PrdAdBilan!$B:$B,adProjChocS2,PrdAdBilan!$C:$C,adProjScenario,PrdAdBilan!$D:$D,adProjIteration,PrdAdBilan!$G:$G,adProjCdCanton)</f>
        <v>0</v>
      </c>
      <c r="T193" s="76">
        <f>SUMIFS(PrdAdBilan!$L:$L,PrdAdBilan!$B:$B,adProjChocS2,PrdAdBilan!$C:$C,adProjScenario,PrdAdBilan!$D:$D,adProjIteration,PrdAdBilan!$G:$G,adProjCdCanton)</f>
        <v>0</v>
      </c>
      <c r="U193" s="76">
        <f>SUMIFS(PrdAdBilan!$L:$L,PrdAdBilan!$B:$B,adProjChocS2,PrdAdBilan!$C:$C,adProjScenario,PrdAdBilan!$D:$D,adProjIteration,PrdAdBilan!$G:$G,adProjCdCanton)</f>
        <v>0</v>
      </c>
      <c r="V193" s="76">
        <f>SUMIFS(PrdAdBilan!$L:$L,PrdAdBilan!$B:$B,adProjChocS2,PrdAdBilan!$C:$C,adProjScenario,PrdAdBilan!$D:$D,adProjIteration,PrdAdBilan!$G:$G,adProjCdCanton)</f>
        <v>0</v>
      </c>
      <c r="W193" s="76">
        <f>SUMIFS(PrdAdBilan!$L:$L,PrdAdBilan!$B:$B,adProjChocS2,PrdAdBilan!$C:$C,adProjScenario,PrdAdBilan!$D:$D,adProjIteration,PrdAdBilan!$G:$G,adProjCdCanton)</f>
        <v>0</v>
      </c>
      <c r="X193" s="76">
        <f>SUMIFS(PrdAdBilan!$L:$L,PrdAdBilan!$B:$B,adProjChocS2,PrdAdBilan!$C:$C,adProjScenario,PrdAdBilan!$D:$D,adProjIteration,PrdAdBilan!$G:$G,adProjCdCanton)</f>
        <v>0</v>
      </c>
      <c r="Y193" s="76">
        <f>SUMIFS(PrdAdBilan!$L:$L,PrdAdBilan!$B:$B,adProjChocS2,PrdAdBilan!$C:$C,adProjScenario,PrdAdBilan!$D:$D,adProjIteration,PrdAdBilan!$G:$G,adProjCdCanton)</f>
        <v>0</v>
      </c>
      <c r="Z193" s="76">
        <f>SUMIFS(PrdAdBilan!$L:$L,PrdAdBilan!$B:$B,adProjChocS2,PrdAdBilan!$C:$C,adProjScenario,PrdAdBilan!$D:$D,adProjIteration,PrdAdBilan!$G:$G,adProjCdCanton)</f>
        <v>0</v>
      </c>
      <c r="AA193" s="76">
        <f>SUMIFS(PrdAdBilan!$L:$L,PrdAdBilan!$B:$B,adProjChocS2,PrdAdBilan!$C:$C,adProjScenario,PrdAdBilan!$D:$D,adProjIteration,PrdAdBilan!$G:$G,adProjCdCanton)</f>
        <v>0</v>
      </c>
      <c r="AB193" s="76">
        <f>SUMIFS(PrdAdBilan!$L:$L,PrdAdBilan!$B:$B,adProjChocS2,PrdAdBilan!$C:$C,adProjScenario,PrdAdBilan!$D:$D,adProjIteration,PrdAdBilan!$G:$G,adProjCdCanton)</f>
        <v>0</v>
      </c>
      <c r="AC193" s="76">
        <f>SUMIFS(PrdAdBilan!$L:$L,PrdAdBilan!$B:$B,adProjChocS2,PrdAdBilan!$C:$C,adProjScenario,PrdAdBilan!$D:$D,adProjIteration,PrdAdBilan!$G:$G,adProjCdCanton)</f>
        <v>0</v>
      </c>
      <c r="AD193" s="76">
        <f>SUMIFS(PrdAdBilan!$L:$L,PrdAdBilan!$B:$B,adProjChocS2,PrdAdBilan!$C:$C,adProjScenario,PrdAdBilan!$D:$D,adProjIteration,PrdAdBilan!$G:$G,adProjCdCanton)</f>
        <v>0</v>
      </c>
      <c r="AE193" s="76">
        <f>SUMIFS(PrdAdBilan!$L:$L,PrdAdBilan!$B:$B,adProjChocS2,PrdAdBilan!$C:$C,adProjScenario,PrdAdBilan!$D:$D,adProjIteration,PrdAdBilan!$G:$G,adProjCdCanton)</f>
        <v>0</v>
      </c>
      <c r="AF193" s="76">
        <f>SUMIFS(PrdAdBilan!$L:$L,PrdAdBilan!$B:$B,adProjChocS2,PrdAdBilan!$C:$C,adProjScenario,PrdAdBilan!$D:$D,adProjIteration,PrdAdBilan!$G:$G,adProjCdCanton)</f>
        <v>0</v>
      </c>
      <c r="AG193" s="76">
        <f>SUMIFS(PrdAdBilan!$L:$L,PrdAdBilan!$B:$B,adProjChocS2,PrdAdBilan!$C:$C,adProjScenario,PrdAdBilan!$D:$D,adProjIteration,PrdAdBilan!$G:$G,adProjCdCanton)</f>
        <v>0</v>
      </c>
      <c r="AH193" s="76">
        <f>SUMIFS(PrdAdBilan!$L:$L,PrdAdBilan!$B:$B,adProjChocS2,PrdAdBilan!$C:$C,adProjScenario,PrdAdBilan!$D:$D,adProjIteration,PrdAdBilan!$G:$G,adProjCdCanton)</f>
        <v>0</v>
      </c>
      <c r="AI193" s="76">
        <f>SUMIFS(PrdAdBilan!$L:$L,PrdAdBilan!$B:$B,adProjChocS2,PrdAdBilan!$C:$C,adProjScenario,PrdAdBilan!$D:$D,adProjIteration,PrdAdBilan!$G:$G,adProjCdCanton)</f>
        <v>0</v>
      </c>
      <c r="AJ193" s="76">
        <f>SUMIFS(PrdAdBilan!$L:$L,PrdAdBilan!$B:$B,adProjChocS2,PrdAdBilan!$C:$C,adProjScenario,PrdAdBilan!$D:$D,adProjIteration,PrdAdBilan!$G:$G,adProjCdCanton)</f>
        <v>0</v>
      </c>
      <c r="AK193" s="76">
        <f>SUMIFS(PrdAdBilan!$L:$L,PrdAdBilan!$B:$B,adProjChocS2,PrdAdBilan!$C:$C,adProjScenario,PrdAdBilan!$D:$D,adProjIteration,PrdAdBilan!$G:$G,adProjCdCanton)</f>
        <v>0</v>
      </c>
      <c r="AL193" s="76">
        <f>SUMIFS(PrdAdBilan!$L:$L,PrdAdBilan!$B:$B,adProjChocS2,PrdAdBilan!$C:$C,adProjScenario,PrdAdBilan!$D:$D,adProjIteration,PrdAdBilan!$G:$G,adProjCdCanton)</f>
        <v>0</v>
      </c>
      <c r="AM193" s="76">
        <f>SUMIFS(PrdAdBilan!$L:$L,PrdAdBilan!$B:$B,adProjChocS2,PrdAdBilan!$C:$C,adProjScenario,PrdAdBilan!$D:$D,adProjIteration,PrdAdBilan!$G:$G,adProjCdCanton)</f>
        <v>0</v>
      </c>
      <c r="AN193" s="76">
        <f>SUMIFS(PrdAdBilan!$L:$L,PrdAdBilan!$B:$B,adProjChocS2,PrdAdBilan!$C:$C,adProjScenario,PrdAdBilan!$D:$D,adProjIteration,PrdAdBilan!$G:$G,adProjCdCanton)</f>
        <v>0</v>
      </c>
      <c r="AO193" s="76">
        <f>SUMIFS(PrdAdBilan!$L:$L,PrdAdBilan!$B:$B,adProjChocS2,PrdAdBilan!$C:$C,adProjScenario,PrdAdBilan!$D:$D,adProjIteration,PrdAdBilan!$G:$G,adProjCdCanton)</f>
        <v>0</v>
      </c>
      <c r="AP193" s="76">
        <f>SUMIFS(PrdAdBilan!$L:$L,PrdAdBilan!$B:$B,adProjChocS2,PrdAdBilan!$C:$C,adProjScenario,PrdAdBilan!$D:$D,adProjIteration,PrdAdBilan!$G:$G,adProjCdCanton)</f>
        <v>0</v>
      </c>
      <c r="AQ193" s="76">
        <f>SUMIFS(PrdAdBilan!$L:$L,PrdAdBilan!$B:$B,adProjChocS2,PrdAdBilan!$C:$C,adProjScenario,PrdAdBilan!$D:$D,adProjIteration,PrdAdBilan!$G:$G,adProjCdCanton)</f>
        <v>0</v>
      </c>
      <c r="AR193" s="76">
        <f>SUMIFS(PrdAdBilan!$L:$L,PrdAdBilan!$B:$B,adProjChocS2,PrdAdBilan!$C:$C,adProjScenario,PrdAdBilan!$D:$D,adProjIteration,PrdAdBilan!$G:$G,adProjCdCanton)</f>
        <v>0</v>
      </c>
      <c r="AS193" s="76">
        <f>SUMIFS(PrdAdBilan!$L:$L,PrdAdBilan!$B:$B,adProjChocS2,PrdAdBilan!$C:$C,adProjScenario,PrdAdBilan!$D:$D,adProjIteration,PrdAdBilan!$G:$G,adProjCdCanton)</f>
        <v>0</v>
      </c>
      <c r="AT193" s="76">
        <f>SUMIFS(PrdAdBilan!$L:$L,PrdAdBilan!$B:$B,adProjChocS2,PrdAdBilan!$C:$C,adProjScenario,PrdAdBilan!$D:$D,adProjIteration,PrdAdBilan!$G:$G,adProjCdCanton)</f>
        <v>0</v>
      </c>
      <c r="AU193" s="76">
        <f>SUMIFS(PrdAdBilan!$L:$L,PrdAdBilan!$B:$B,adProjChocS2,PrdAdBilan!$C:$C,adProjScenario,PrdAdBilan!$D:$D,adProjIteration,PrdAdBilan!$G:$G,adProjCdCanton)</f>
        <v>0</v>
      </c>
      <c r="AV193" s="76">
        <f>SUMIFS(PrdAdBilan!$L:$L,PrdAdBilan!$B:$B,adProjChocS2,PrdAdBilan!$C:$C,adProjScenario,PrdAdBilan!$D:$D,adProjIteration,PrdAdBilan!$G:$G,adProjCdCanton)</f>
        <v>0</v>
      </c>
      <c r="AW193" s="76">
        <f>SUMIFS(PrdAdBilan!$L:$L,PrdAdBilan!$B:$B,adProjChocS2,PrdAdBilan!$C:$C,adProjScenario,PrdAdBilan!$D:$D,adProjIteration,PrdAdBilan!$G:$G,adProjCdCanton)</f>
        <v>0</v>
      </c>
      <c r="AX193" s="76">
        <f>SUMIFS(PrdAdBilan!$L:$L,PrdAdBilan!$B:$B,adProjChocS2,PrdAdBilan!$C:$C,adProjScenario,PrdAdBilan!$D:$D,adProjIteration,PrdAdBilan!$G:$G,adProjCdCanton)</f>
        <v>0</v>
      </c>
      <c r="AY193" s="76">
        <f>SUMIFS(PrdAdBilan!$L:$L,PrdAdBilan!$B:$B,adProjChocS2,PrdAdBilan!$C:$C,adProjScenario,PrdAdBilan!$D:$D,adProjIteration,PrdAdBilan!$G:$G,adProjCdCanton)</f>
        <v>0</v>
      </c>
      <c r="AZ193" s="76">
        <f>SUMIFS(PrdAdBilan!$L:$L,PrdAdBilan!$B:$B,adProjChocS2,PrdAdBilan!$C:$C,adProjScenario,PrdAdBilan!$D:$D,adProjIteration,PrdAdBilan!$G:$G,adProjCdCanton)</f>
        <v>0</v>
      </c>
      <c r="BA193" s="76">
        <f>SUMIFS(PrdAdBilan!$L:$L,PrdAdBilan!$B:$B,adProjChocS2,PrdAdBilan!$C:$C,adProjScenario,PrdAdBilan!$D:$D,adProjIteration,PrdAdBilan!$G:$G,adProjCdCanton)</f>
        <v>0</v>
      </c>
      <c r="BB193" s="76">
        <f>SUMIFS(PrdAdBilan!$L:$L,PrdAdBilan!$B:$B,adProjChocS2,PrdAdBilan!$C:$C,adProjScenario,PrdAdBilan!$D:$D,adProjIteration,PrdAdBilan!$G:$G,adProjCdCanton)</f>
        <v>0</v>
      </c>
    </row>
    <row r="194" spans="1:54" ht="16.5" x14ac:dyDescent="0.3">
      <c r="A194" s="16"/>
      <c r="B194" s="74"/>
      <c r="C194" s="77" t="s">
        <v>154</v>
      </c>
      <c r="D194" s="76">
        <f>SUMIFS(PrdAdBilan!$M:$M,PrdAdBilan!$B:$B,adProjChocS2,PrdAdBilan!$C:$C,adProjScenario,PrdAdBilan!$D:$D,adProjIteration,PrdAdBilan!$G:$G,adProjCdCanton)</f>
        <v>0</v>
      </c>
      <c r="E194" s="76">
        <f>SUMIFS(PrdAdBilan!$M:$M,PrdAdBilan!$B:$B,adProjChocS2,PrdAdBilan!$C:$C,adProjScenario,PrdAdBilan!$D:$D,adProjIteration,PrdAdBilan!$G:$G,adProjCdCanton)</f>
        <v>0</v>
      </c>
      <c r="F194" s="76">
        <f>SUMIFS(PrdAdBilan!$M:$M,PrdAdBilan!$B:$B,adProjChocS2,PrdAdBilan!$C:$C,adProjScenario,PrdAdBilan!$D:$D,adProjIteration,PrdAdBilan!$G:$G,adProjCdCanton)</f>
        <v>0</v>
      </c>
      <c r="G194" s="76">
        <f>SUMIFS(PrdAdBilan!$M:$M,PrdAdBilan!$B:$B,adProjChocS2,PrdAdBilan!$C:$C,adProjScenario,PrdAdBilan!$D:$D,adProjIteration,PrdAdBilan!$G:$G,adProjCdCanton)</f>
        <v>0</v>
      </c>
      <c r="H194" s="76">
        <f>SUMIFS(PrdAdBilan!$M:$M,PrdAdBilan!$B:$B,adProjChocS2,PrdAdBilan!$C:$C,adProjScenario,PrdAdBilan!$D:$D,adProjIteration,PrdAdBilan!$G:$G,adProjCdCanton)</f>
        <v>0</v>
      </c>
      <c r="I194" s="76">
        <f>SUMIFS(PrdAdBilan!$M:$M,PrdAdBilan!$B:$B,adProjChocS2,PrdAdBilan!$C:$C,adProjScenario,PrdAdBilan!$D:$D,adProjIteration,PrdAdBilan!$G:$G,adProjCdCanton)</f>
        <v>0</v>
      </c>
      <c r="J194" s="76">
        <f>SUMIFS(PrdAdBilan!$M:$M,PrdAdBilan!$B:$B,adProjChocS2,PrdAdBilan!$C:$C,adProjScenario,PrdAdBilan!$D:$D,adProjIteration,PrdAdBilan!$G:$G,adProjCdCanton)</f>
        <v>0</v>
      </c>
      <c r="K194" s="76">
        <f>SUMIFS(PrdAdBilan!$M:$M,PrdAdBilan!$B:$B,adProjChocS2,PrdAdBilan!$C:$C,adProjScenario,PrdAdBilan!$D:$D,adProjIteration,PrdAdBilan!$G:$G,adProjCdCanton)</f>
        <v>0</v>
      </c>
      <c r="L194" s="76">
        <f>SUMIFS(PrdAdBilan!$M:$M,PrdAdBilan!$B:$B,adProjChocS2,PrdAdBilan!$C:$C,adProjScenario,PrdAdBilan!$D:$D,adProjIteration,PrdAdBilan!$G:$G,adProjCdCanton)</f>
        <v>0</v>
      </c>
      <c r="M194" s="76">
        <f>SUMIFS(PrdAdBilan!$M:$M,PrdAdBilan!$B:$B,adProjChocS2,PrdAdBilan!$C:$C,adProjScenario,PrdAdBilan!$D:$D,adProjIteration,PrdAdBilan!$G:$G,adProjCdCanton)</f>
        <v>0</v>
      </c>
      <c r="N194" s="76">
        <f>SUMIFS(PrdAdBilan!$M:$M,PrdAdBilan!$B:$B,adProjChocS2,PrdAdBilan!$C:$C,adProjScenario,PrdAdBilan!$D:$D,adProjIteration,PrdAdBilan!$G:$G,adProjCdCanton)</f>
        <v>0</v>
      </c>
      <c r="O194" s="76">
        <f>SUMIFS(PrdAdBilan!$M:$M,PrdAdBilan!$B:$B,adProjChocS2,PrdAdBilan!$C:$C,adProjScenario,PrdAdBilan!$D:$D,adProjIteration,PrdAdBilan!$G:$G,adProjCdCanton)</f>
        <v>0</v>
      </c>
      <c r="P194" s="76">
        <f>SUMIFS(PrdAdBilan!$M:$M,PrdAdBilan!$B:$B,adProjChocS2,PrdAdBilan!$C:$C,adProjScenario,PrdAdBilan!$D:$D,adProjIteration,PrdAdBilan!$G:$G,adProjCdCanton)</f>
        <v>0</v>
      </c>
      <c r="Q194" s="76">
        <f>SUMIFS(PrdAdBilan!$M:$M,PrdAdBilan!$B:$B,adProjChocS2,PrdAdBilan!$C:$C,adProjScenario,PrdAdBilan!$D:$D,adProjIteration,PrdAdBilan!$G:$G,adProjCdCanton)</f>
        <v>0</v>
      </c>
      <c r="R194" s="76">
        <f>SUMIFS(PrdAdBilan!$M:$M,PrdAdBilan!$B:$B,adProjChocS2,PrdAdBilan!$C:$C,adProjScenario,PrdAdBilan!$D:$D,adProjIteration,PrdAdBilan!$G:$G,adProjCdCanton)</f>
        <v>0</v>
      </c>
      <c r="S194" s="76">
        <f>SUMIFS(PrdAdBilan!$M:$M,PrdAdBilan!$B:$B,adProjChocS2,PrdAdBilan!$C:$C,adProjScenario,PrdAdBilan!$D:$D,adProjIteration,PrdAdBilan!$G:$G,adProjCdCanton)</f>
        <v>0</v>
      </c>
      <c r="T194" s="76">
        <f>SUMIFS(PrdAdBilan!$M:$M,PrdAdBilan!$B:$B,adProjChocS2,PrdAdBilan!$C:$C,adProjScenario,PrdAdBilan!$D:$D,adProjIteration,PrdAdBilan!$G:$G,adProjCdCanton)</f>
        <v>0</v>
      </c>
      <c r="U194" s="76">
        <f>SUMIFS(PrdAdBilan!$M:$M,PrdAdBilan!$B:$B,adProjChocS2,PrdAdBilan!$C:$C,adProjScenario,PrdAdBilan!$D:$D,adProjIteration,PrdAdBilan!$G:$G,adProjCdCanton)</f>
        <v>0</v>
      </c>
      <c r="V194" s="76">
        <f>SUMIFS(PrdAdBilan!$M:$M,PrdAdBilan!$B:$B,adProjChocS2,PrdAdBilan!$C:$C,adProjScenario,PrdAdBilan!$D:$D,adProjIteration,PrdAdBilan!$G:$G,adProjCdCanton)</f>
        <v>0</v>
      </c>
      <c r="W194" s="76">
        <f>SUMIFS(PrdAdBilan!$M:$M,PrdAdBilan!$B:$B,adProjChocS2,PrdAdBilan!$C:$C,adProjScenario,PrdAdBilan!$D:$D,adProjIteration,PrdAdBilan!$G:$G,adProjCdCanton)</f>
        <v>0</v>
      </c>
      <c r="X194" s="76">
        <f>SUMIFS(PrdAdBilan!$M:$M,PrdAdBilan!$B:$B,adProjChocS2,PrdAdBilan!$C:$C,adProjScenario,PrdAdBilan!$D:$D,adProjIteration,PrdAdBilan!$G:$G,adProjCdCanton)</f>
        <v>0</v>
      </c>
      <c r="Y194" s="76">
        <f>SUMIFS(PrdAdBilan!$M:$M,PrdAdBilan!$B:$B,adProjChocS2,PrdAdBilan!$C:$C,adProjScenario,PrdAdBilan!$D:$D,adProjIteration,PrdAdBilan!$G:$G,adProjCdCanton)</f>
        <v>0</v>
      </c>
      <c r="Z194" s="76">
        <f>SUMIFS(PrdAdBilan!$M:$M,PrdAdBilan!$B:$B,adProjChocS2,PrdAdBilan!$C:$C,adProjScenario,PrdAdBilan!$D:$D,adProjIteration,PrdAdBilan!$G:$G,adProjCdCanton)</f>
        <v>0</v>
      </c>
      <c r="AA194" s="76">
        <f>SUMIFS(PrdAdBilan!$M:$M,PrdAdBilan!$B:$B,adProjChocS2,PrdAdBilan!$C:$C,adProjScenario,PrdAdBilan!$D:$D,adProjIteration,PrdAdBilan!$G:$G,adProjCdCanton)</f>
        <v>0</v>
      </c>
      <c r="AB194" s="76">
        <f>SUMIFS(PrdAdBilan!$M:$M,PrdAdBilan!$B:$B,adProjChocS2,PrdAdBilan!$C:$C,adProjScenario,PrdAdBilan!$D:$D,adProjIteration,PrdAdBilan!$G:$G,adProjCdCanton)</f>
        <v>0</v>
      </c>
      <c r="AC194" s="76">
        <f>SUMIFS(PrdAdBilan!$M:$M,PrdAdBilan!$B:$B,adProjChocS2,PrdAdBilan!$C:$C,adProjScenario,PrdAdBilan!$D:$D,adProjIteration,PrdAdBilan!$G:$G,adProjCdCanton)</f>
        <v>0</v>
      </c>
      <c r="AD194" s="76">
        <f>SUMIFS(PrdAdBilan!$M:$M,PrdAdBilan!$B:$B,adProjChocS2,PrdAdBilan!$C:$C,adProjScenario,PrdAdBilan!$D:$D,adProjIteration,PrdAdBilan!$G:$G,adProjCdCanton)</f>
        <v>0</v>
      </c>
      <c r="AE194" s="76">
        <f>SUMIFS(PrdAdBilan!$M:$M,PrdAdBilan!$B:$B,adProjChocS2,PrdAdBilan!$C:$C,adProjScenario,PrdAdBilan!$D:$D,adProjIteration,PrdAdBilan!$G:$G,adProjCdCanton)</f>
        <v>0</v>
      </c>
      <c r="AF194" s="76">
        <f>SUMIFS(PrdAdBilan!$M:$M,PrdAdBilan!$B:$B,adProjChocS2,PrdAdBilan!$C:$C,adProjScenario,PrdAdBilan!$D:$D,adProjIteration,PrdAdBilan!$G:$G,adProjCdCanton)</f>
        <v>0</v>
      </c>
      <c r="AG194" s="76">
        <f>SUMIFS(PrdAdBilan!$M:$M,PrdAdBilan!$B:$B,adProjChocS2,PrdAdBilan!$C:$C,adProjScenario,PrdAdBilan!$D:$D,adProjIteration,PrdAdBilan!$G:$G,adProjCdCanton)</f>
        <v>0</v>
      </c>
      <c r="AH194" s="76">
        <f>SUMIFS(PrdAdBilan!$M:$M,PrdAdBilan!$B:$B,adProjChocS2,PrdAdBilan!$C:$C,adProjScenario,PrdAdBilan!$D:$D,adProjIteration,PrdAdBilan!$G:$G,adProjCdCanton)</f>
        <v>0</v>
      </c>
      <c r="AI194" s="76">
        <f>SUMIFS(PrdAdBilan!$M:$M,PrdAdBilan!$B:$B,adProjChocS2,PrdAdBilan!$C:$C,adProjScenario,PrdAdBilan!$D:$D,adProjIteration,PrdAdBilan!$G:$G,adProjCdCanton)</f>
        <v>0</v>
      </c>
      <c r="AJ194" s="76">
        <f>SUMIFS(PrdAdBilan!$M:$M,PrdAdBilan!$B:$B,adProjChocS2,PrdAdBilan!$C:$C,adProjScenario,PrdAdBilan!$D:$D,adProjIteration,PrdAdBilan!$G:$G,adProjCdCanton)</f>
        <v>0</v>
      </c>
      <c r="AK194" s="76">
        <f>SUMIFS(PrdAdBilan!$M:$M,PrdAdBilan!$B:$B,adProjChocS2,PrdAdBilan!$C:$C,adProjScenario,PrdAdBilan!$D:$D,adProjIteration,PrdAdBilan!$G:$G,adProjCdCanton)</f>
        <v>0</v>
      </c>
      <c r="AL194" s="76">
        <f>SUMIFS(PrdAdBilan!$M:$M,PrdAdBilan!$B:$B,adProjChocS2,PrdAdBilan!$C:$C,adProjScenario,PrdAdBilan!$D:$D,adProjIteration,PrdAdBilan!$G:$G,adProjCdCanton)</f>
        <v>0</v>
      </c>
      <c r="AM194" s="76">
        <f>SUMIFS(PrdAdBilan!$M:$M,PrdAdBilan!$B:$B,adProjChocS2,PrdAdBilan!$C:$C,adProjScenario,PrdAdBilan!$D:$D,adProjIteration,PrdAdBilan!$G:$G,adProjCdCanton)</f>
        <v>0</v>
      </c>
      <c r="AN194" s="76">
        <f>SUMIFS(PrdAdBilan!$M:$M,PrdAdBilan!$B:$B,adProjChocS2,PrdAdBilan!$C:$C,adProjScenario,PrdAdBilan!$D:$D,adProjIteration,PrdAdBilan!$G:$G,adProjCdCanton)</f>
        <v>0</v>
      </c>
      <c r="AO194" s="76">
        <f>SUMIFS(PrdAdBilan!$M:$M,PrdAdBilan!$B:$B,adProjChocS2,PrdAdBilan!$C:$C,adProjScenario,PrdAdBilan!$D:$D,adProjIteration,PrdAdBilan!$G:$G,adProjCdCanton)</f>
        <v>0</v>
      </c>
      <c r="AP194" s="76">
        <f>SUMIFS(PrdAdBilan!$M:$M,PrdAdBilan!$B:$B,adProjChocS2,PrdAdBilan!$C:$C,adProjScenario,PrdAdBilan!$D:$D,adProjIteration,PrdAdBilan!$G:$G,adProjCdCanton)</f>
        <v>0</v>
      </c>
      <c r="AQ194" s="76">
        <f>SUMIFS(PrdAdBilan!$M:$M,PrdAdBilan!$B:$B,adProjChocS2,PrdAdBilan!$C:$C,adProjScenario,PrdAdBilan!$D:$D,adProjIteration,PrdAdBilan!$G:$G,adProjCdCanton)</f>
        <v>0</v>
      </c>
      <c r="AR194" s="76">
        <f>SUMIFS(PrdAdBilan!$M:$M,PrdAdBilan!$B:$B,adProjChocS2,PrdAdBilan!$C:$C,adProjScenario,PrdAdBilan!$D:$D,adProjIteration,PrdAdBilan!$G:$G,adProjCdCanton)</f>
        <v>0</v>
      </c>
      <c r="AS194" s="76">
        <f>SUMIFS(PrdAdBilan!$M:$M,PrdAdBilan!$B:$B,adProjChocS2,PrdAdBilan!$C:$C,adProjScenario,PrdAdBilan!$D:$D,adProjIteration,PrdAdBilan!$G:$G,adProjCdCanton)</f>
        <v>0</v>
      </c>
      <c r="AT194" s="76">
        <f>SUMIFS(PrdAdBilan!$M:$M,PrdAdBilan!$B:$B,adProjChocS2,PrdAdBilan!$C:$C,adProjScenario,PrdAdBilan!$D:$D,adProjIteration,PrdAdBilan!$G:$G,adProjCdCanton)</f>
        <v>0</v>
      </c>
      <c r="AU194" s="76">
        <f>SUMIFS(PrdAdBilan!$M:$M,PrdAdBilan!$B:$B,adProjChocS2,PrdAdBilan!$C:$C,adProjScenario,PrdAdBilan!$D:$D,adProjIteration,PrdAdBilan!$G:$G,adProjCdCanton)</f>
        <v>0</v>
      </c>
      <c r="AV194" s="76">
        <f>SUMIFS(PrdAdBilan!$M:$M,PrdAdBilan!$B:$B,adProjChocS2,PrdAdBilan!$C:$C,adProjScenario,PrdAdBilan!$D:$D,adProjIteration,PrdAdBilan!$G:$G,adProjCdCanton)</f>
        <v>0</v>
      </c>
      <c r="AW194" s="76">
        <f>SUMIFS(PrdAdBilan!$M:$M,PrdAdBilan!$B:$B,adProjChocS2,PrdAdBilan!$C:$C,adProjScenario,PrdAdBilan!$D:$D,adProjIteration,PrdAdBilan!$G:$G,adProjCdCanton)</f>
        <v>0</v>
      </c>
      <c r="AX194" s="76">
        <f>SUMIFS(PrdAdBilan!$M:$M,PrdAdBilan!$B:$B,adProjChocS2,PrdAdBilan!$C:$C,adProjScenario,PrdAdBilan!$D:$D,adProjIteration,PrdAdBilan!$G:$G,adProjCdCanton)</f>
        <v>0</v>
      </c>
      <c r="AY194" s="76">
        <f>SUMIFS(PrdAdBilan!$M:$M,PrdAdBilan!$B:$B,adProjChocS2,PrdAdBilan!$C:$C,adProjScenario,PrdAdBilan!$D:$D,adProjIteration,PrdAdBilan!$G:$G,adProjCdCanton)</f>
        <v>0</v>
      </c>
      <c r="AZ194" s="76">
        <f>SUMIFS(PrdAdBilan!$M:$M,PrdAdBilan!$B:$B,adProjChocS2,PrdAdBilan!$C:$C,adProjScenario,PrdAdBilan!$D:$D,adProjIteration,PrdAdBilan!$G:$G,adProjCdCanton)</f>
        <v>0</v>
      </c>
      <c r="BA194" s="76">
        <f>SUMIFS(PrdAdBilan!$M:$M,PrdAdBilan!$B:$B,adProjChocS2,PrdAdBilan!$C:$C,adProjScenario,PrdAdBilan!$D:$D,adProjIteration,PrdAdBilan!$G:$G,adProjCdCanton)</f>
        <v>0</v>
      </c>
      <c r="BB194" s="76">
        <f>SUMIFS(PrdAdBilan!$M:$M,PrdAdBilan!$B:$B,adProjChocS2,PrdAdBilan!$C:$C,adProjScenario,PrdAdBilan!$D:$D,adProjIteration,PrdAdBilan!$G:$G,adProjCdCanton)</f>
        <v>0</v>
      </c>
    </row>
    <row r="195" spans="1:54" ht="16.5" x14ac:dyDescent="0.3">
      <c r="A195" s="16"/>
      <c r="B195" s="74"/>
      <c r="C195" s="77" t="s">
        <v>155</v>
      </c>
      <c r="D195" s="76">
        <f>SUMIFS(PrdAdBilan!$N:$N,PrdAdBilan!$B:$B,adProjChocS2,PrdAdBilan!$C:$C,adProjScenario,PrdAdBilan!$D:$D,adProjIteration,PrdAdBilan!$G:$G,adProjCdCanton)</f>
        <v>0</v>
      </c>
      <c r="E195" s="76">
        <f>SUMIFS(PrdAdBilan!$N:$N,PrdAdBilan!$B:$B,adProjChocS2,PrdAdBilan!$C:$C,adProjScenario,PrdAdBilan!$D:$D,adProjIteration,PrdAdBilan!$G:$G,adProjCdCanton)</f>
        <v>0</v>
      </c>
      <c r="F195" s="76">
        <f>SUMIFS(PrdAdBilan!$N:$N,PrdAdBilan!$B:$B,adProjChocS2,PrdAdBilan!$C:$C,adProjScenario,PrdAdBilan!$D:$D,adProjIteration,PrdAdBilan!$G:$G,adProjCdCanton)</f>
        <v>0</v>
      </c>
      <c r="G195" s="76">
        <f>SUMIFS(PrdAdBilan!$N:$N,PrdAdBilan!$B:$B,adProjChocS2,PrdAdBilan!$C:$C,adProjScenario,PrdAdBilan!$D:$D,adProjIteration,PrdAdBilan!$G:$G,adProjCdCanton)</f>
        <v>0</v>
      </c>
      <c r="H195" s="76">
        <f>SUMIFS(PrdAdBilan!$N:$N,PrdAdBilan!$B:$B,adProjChocS2,PrdAdBilan!$C:$C,adProjScenario,PrdAdBilan!$D:$D,adProjIteration,PrdAdBilan!$G:$G,adProjCdCanton)</f>
        <v>0</v>
      </c>
      <c r="I195" s="76">
        <f>SUMIFS(PrdAdBilan!$N:$N,PrdAdBilan!$B:$B,adProjChocS2,PrdAdBilan!$C:$C,adProjScenario,PrdAdBilan!$D:$D,adProjIteration,PrdAdBilan!$G:$G,adProjCdCanton)</f>
        <v>0</v>
      </c>
      <c r="J195" s="76">
        <f>SUMIFS(PrdAdBilan!$N:$N,PrdAdBilan!$B:$B,adProjChocS2,PrdAdBilan!$C:$C,adProjScenario,PrdAdBilan!$D:$D,adProjIteration,PrdAdBilan!$G:$G,adProjCdCanton)</f>
        <v>0</v>
      </c>
      <c r="K195" s="76">
        <f>SUMIFS(PrdAdBilan!$N:$N,PrdAdBilan!$B:$B,adProjChocS2,PrdAdBilan!$C:$C,adProjScenario,PrdAdBilan!$D:$D,adProjIteration,PrdAdBilan!$G:$G,adProjCdCanton)</f>
        <v>0</v>
      </c>
      <c r="L195" s="76">
        <f>SUMIFS(PrdAdBilan!$N:$N,PrdAdBilan!$B:$B,adProjChocS2,PrdAdBilan!$C:$C,adProjScenario,PrdAdBilan!$D:$D,adProjIteration,PrdAdBilan!$G:$G,adProjCdCanton)</f>
        <v>0</v>
      </c>
      <c r="M195" s="76">
        <f>SUMIFS(PrdAdBilan!$N:$N,PrdAdBilan!$B:$B,adProjChocS2,PrdAdBilan!$C:$C,adProjScenario,PrdAdBilan!$D:$D,adProjIteration,PrdAdBilan!$G:$G,adProjCdCanton)</f>
        <v>0</v>
      </c>
      <c r="N195" s="76">
        <f>SUMIFS(PrdAdBilan!$N:$N,PrdAdBilan!$B:$B,adProjChocS2,PrdAdBilan!$C:$C,adProjScenario,PrdAdBilan!$D:$D,adProjIteration,PrdAdBilan!$G:$G,adProjCdCanton)</f>
        <v>0</v>
      </c>
      <c r="O195" s="76">
        <f>SUMIFS(PrdAdBilan!$N:$N,PrdAdBilan!$B:$B,adProjChocS2,PrdAdBilan!$C:$C,adProjScenario,PrdAdBilan!$D:$D,adProjIteration,PrdAdBilan!$G:$G,adProjCdCanton)</f>
        <v>0</v>
      </c>
      <c r="P195" s="76">
        <f>SUMIFS(PrdAdBilan!$N:$N,PrdAdBilan!$B:$B,adProjChocS2,PrdAdBilan!$C:$C,adProjScenario,PrdAdBilan!$D:$D,adProjIteration,PrdAdBilan!$G:$G,adProjCdCanton)</f>
        <v>0</v>
      </c>
      <c r="Q195" s="76">
        <f>SUMIFS(PrdAdBilan!$N:$N,PrdAdBilan!$B:$B,adProjChocS2,PrdAdBilan!$C:$C,adProjScenario,PrdAdBilan!$D:$D,adProjIteration,PrdAdBilan!$G:$G,adProjCdCanton)</f>
        <v>0</v>
      </c>
      <c r="R195" s="76">
        <f>SUMIFS(PrdAdBilan!$N:$N,PrdAdBilan!$B:$B,adProjChocS2,PrdAdBilan!$C:$C,adProjScenario,PrdAdBilan!$D:$D,adProjIteration,PrdAdBilan!$G:$G,adProjCdCanton)</f>
        <v>0</v>
      </c>
      <c r="S195" s="76">
        <f>SUMIFS(PrdAdBilan!$N:$N,PrdAdBilan!$B:$B,adProjChocS2,PrdAdBilan!$C:$C,adProjScenario,PrdAdBilan!$D:$D,adProjIteration,PrdAdBilan!$G:$G,adProjCdCanton)</f>
        <v>0</v>
      </c>
      <c r="T195" s="76">
        <f>SUMIFS(PrdAdBilan!$N:$N,PrdAdBilan!$B:$B,adProjChocS2,PrdAdBilan!$C:$C,adProjScenario,PrdAdBilan!$D:$D,adProjIteration,PrdAdBilan!$G:$G,adProjCdCanton)</f>
        <v>0</v>
      </c>
      <c r="U195" s="76">
        <f>SUMIFS(PrdAdBilan!$N:$N,PrdAdBilan!$B:$B,adProjChocS2,PrdAdBilan!$C:$C,adProjScenario,PrdAdBilan!$D:$D,adProjIteration,PrdAdBilan!$G:$G,adProjCdCanton)</f>
        <v>0</v>
      </c>
      <c r="V195" s="76">
        <f>SUMIFS(PrdAdBilan!$N:$N,PrdAdBilan!$B:$B,adProjChocS2,PrdAdBilan!$C:$C,adProjScenario,PrdAdBilan!$D:$D,adProjIteration,PrdAdBilan!$G:$G,adProjCdCanton)</f>
        <v>0</v>
      </c>
      <c r="W195" s="76">
        <f>SUMIFS(PrdAdBilan!$N:$N,PrdAdBilan!$B:$B,adProjChocS2,PrdAdBilan!$C:$C,adProjScenario,PrdAdBilan!$D:$D,adProjIteration,PrdAdBilan!$G:$G,adProjCdCanton)</f>
        <v>0</v>
      </c>
      <c r="X195" s="76">
        <f>SUMIFS(PrdAdBilan!$N:$N,PrdAdBilan!$B:$B,adProjChocS2,PrdAdBilan!$C:$C,adProjScenario,PrdAdBilan!$D:$D,adProjIteration,PrdAdBilan!$G:$G,adProjCdCanton)</f>
        <v>0</v>
      </c>
      <c r="Y195" s="76">
        <f>SUMIFS(PrdAdBilan!$N:$N,PrdAdBilan!$B:$B,adProjChocS2,PrdAdBilan!$C:$C,adProjScenario,PrdAdBilan!$D:$D,adProjIteration,PrdAdBilan!$G:$G,adProjCdCanton)</f>
        <v>0</v>
      </c>
      <c r="Z195" s="76">
        <f>SUMIFS(PrdAdBilan!$N:$N,PrdAdBilan!$B:$B,adProjChocS2,PrdAdBilan!$C:$C,adProjScenario,PrdAdBilan!$D:$D,adProjIteration,PrdAdBilan!$G:$G,adProjCdCanton)</f>
        <v>0</v>
      </c>
      <c r="AA195" s="76">
        <f>SUMIFS(PrdAdBilan!$N:$N,PrdAdBilan!$B:$B,adProjChocS2,PrdAdBilan!$C:$C,adProjScenario,PrdAdBilan!$D:$D,adProjIteration,PrdAdBilan!$G:$G,adProjCdCanton)</f>
        <v>0</v>
      </c>
      <c r="AB195" s="76">
        <f>SUMIFS(PrdAdBilan!$N:$N,PrdAdBilan!$B:$B,adProjChocS2,PrdAdBilan!$C:$C,adProjScenario,PrdAdBilan!$D:$D,adProjIteration,PrdAdBilan!$G:$G,adProjCdCanton)</f>
        <v>0</v>
      </c>
      <c r="AC195" s="76">
        <f>SUMIFS(PrdAdBilan!$N:$N,PrdAdBilan!$B:$B,adProjChocS2,PrdAdBilan!$C:$C,adProjScenario,PrdAdBilan!$D:$D,adProjIteration,PrdAdBilan!$G:$G,adProjCdCanton)</f>
        <v>0</v>
      </c>
      <c r="AD195" s="76">
        <f>SUMIFS(PrdAdBilan!$N:$N,PrdAdBilan!$B:$B,adProjChocS2,PrdAdBilan!$C:$C,adProjScenario,PrdAdBilan!$D:$D,adProjIteration,PrdAdBilan!$G:$G,adProjCdCanton)</f>
        <v>0</v>
      </c>
      <c r="AE195" s="76">
        <f>SUMIFS(PrdAdBilan!$N:$N,PrdAdBilan!$B:$B,adProjChocS2,PrdAdBilan!$C:$C,adProjScenario,PrdAdBilan!$D:$D,adProjIteration,PrdAdBilan!$G:$G,adProjCdCanton)</f>
        <v>0</v>
      </c>
      <c r="AF195" s="76">
        <f>SUMIFS(PrdAdBilan!$N:$N,PrdAdBilan!$B:$B,adProjChocS2,PrdAdBilan!$C:$C,adProjScenario,PrdAdBilan!$D:$D,adProjIteration,PrdAdBilan!$G:$G,adProjCdCanton)</f>
        <v>0</v>
      </c>
      <c r="AG195" s="76">
        <f>SUMIFS(PrdAdBilan!$N:$N,PrdAdBilan!$B:$B,adProjChocS2,PrdAdBilan!$C:$C,adProjScenario,PrdAdBilan!$D:$D,adProjIteration,PrdAdBilan!$G:$G,adProjCdCanton)</f>
        <v>0</v>
      </c>
      <c r="AH195" s="76">
        <f>SUMIFS(PrdAdBilan!$N:$N,PrdAdBilan!$B:$B,adProjChocS2,PrdAdBilan!$C:$C,adProjScenario,PrdAdBilan!$D:$D,adProjIteration,PrdAdBilan!$G:$G,adProjCdCanton)</f>
        <v>0</v>
      </c>
      <c r="AI195" s="76">
        <f>SUMIFS(PrdAdBilan!$N:$N,PrdAdBilan!$B:$B,adProjChocS2,PrdAdBilan!$C:$C,adProjScenario,PrdAdBilan!$D:$D,adProjIteration,PrdAdBilan!$G:$G,adProjCdCanton)</f>
        <v>0</v>
      </c>
      <c r="AJ195" s="76">
        <f>SUMIFS(PrdAdBilan!$N:$N,PrdAdBilan!$B:$B,adProjChocS2,PrdAdBilan!$C:$C,adProjScenario,PrdAdBilan!$D:$D,adProjIteration,PrdAdBilan!$G:$G,adProjCdCanton)</f>
        <v>0</v>
      </c>
      <c r="AK195" s="76">
        <f>SUMIFS(PrdAdBilan!$N:$N,PrdAdBilan!$B:$B,adProjChocS2,PrdAdBilan!$C:$C,adProjScenario,PrdAdBilan!$D:$D,adProjIteration,PrdAdBilan!$G:$G,adProjCdCanton)</f>
        <v>0</v>
      </c>
      <c r="AL195" s="76">
        <f>SUMIFS(PrdAdBilan!$N:$N,PrdAdBilan!$B:$B,adProjChocS2,PrdAdBilan!$C:$C,adProjScenario,PrdAdBilan!$D:$D,adProjIteration,PrdAdBilan!$G:$G,adProjCdCanton)</f>
        <v>0</v>
      </c>
      <c r="AM195" s="76">
        <f>SUMIFS(PrdAdBilan!$N:$N,PrdAdBilan!$B:$B,adProjChocS2,PrdAdBilan!$C:$C,adProjScenario,PrdAdBilan!$D:$D,adProjIteration,PrdAdBilan!$G:$G,adProjCdCanton)</f>
        <v>0</v>
      </c>
      <c r="AN195" s="76">
        <f>SUMIFS(PrdAdBilan!$N:$N,PrdAdBilan!$B:$B,adProjChocS2,PrdAdBilan!$C:$C,adProjScenario,PrdAdBilan!$D:$D,adProjIteration,PrdAdBilan!$G:$G,adProjCdCanton)</f>
        <v>0</v>
      </c>
      <c r="AO195" s="76">
        <f>SUMIFS(PrdAdBilan!$N:$N,PrdAdBilan!$B:$B,adProjChocS2,PrdAdBilan!$C:$C,adProjScenario,PrdAdBilan!$D:$D,adProjIteration,PrdAdBilan!$G:$G,adProjCdCanton)</f>
        <v>0</v>
      </c>
      <c r="AP195" s="76">
        <f>SUMIFS(PrdAdBilan!$N:$N,PrdAdBilan!$B:$B,adProjChocS2,PrdAdBilan!$C:$C,adProjScenario,PrdAdBilan!$D:$D,adProjIteration,PrdAdBilan!$G:$G,adProjCdCanton)</f>
        <v>0</v>
      </c>
      <c r="AQ195" s="76">
        <f>SUMIFS(PrdAdBilan!$N:$N,PrdAdBilan!$B:$B,adProjChocS2,PrdAdBilan!$C:$C,adProjScenario,PrdAdBilan!$D:$D,adProjIteration,PrdAdBilan!$G:$G,adProjCdCanton)</f>
        <v>0</v>
      </c>
      <c r="AR195" s="76">
        <f>SUMIFS(PrdAdBilan!$N:$N,PrdAdBilan!$B:$B,adProjChocS2,PrdAdBilan!$C:$C,adProjScenario,PrdAdBilan!$D:$D,adProjIteration,PrdAdBilan!$G:$G,adProjCdCanton)</f>
        <v>0</v>
      </c>
      <c r="AS195" s="76">
        <f>SUMIFS(PrdAdBilan!$N:$N,PrdAdBilan!$B:$B,adProjChocS2,PrdAdBilan!$C:$C,adProjScenario,PrdAdBilan!$D:$D,adProjIteration,PrdAdBilan!$G:$G,adProjCdCanton)</f>
        <v>0</v>
      </c>
      <c r="AT195" s="76">
        <f>SUMIFS(PrdAdBilan!$N:$N,PrdAdBilan!$B:$B,adProjChocS2,PrdAdBilan!$C:$C,adProjScenario,PrdAdBilan!$D:$D,adProjIteration,PrdAdBilan!$G:$G,adProjCdCanton)</f>
        <v>0</v>
      </c>
      <c r="AU195" s="76">
        <f>SUMIFS(PrdAdBilan!$N:$N,PrdAdBilan!$B:$B,adProjChocS2,PrdAdBilan!$C:$C,adProjScenario,PrdAdBilan!$D:$D,adProjIteration,PrdAdBilan!$G:$G,adProjCdCanton)</f>
        <v>0</v>
      </c>
      <c r="AV195" s="76">
        <f>SUMIFS(PrdAdBilan!$N:$N,PrdAdBilan!$B:$B,adProjChocS2,PrdAdBilan!$C:$C,adProjScenario,PrdAdBilan!$D:$D,adProjIteration,PrdAdBilan!$G:$G,adProjCdCanton)</f>
        <v>0</v>
      </c>
      <c r="AW195" s="76">
        <f>SUMIFS(PrdAdBilan!$N:$N,PrdAdBilan!$B:$B,adProjChocS2,PrdAdBilan!$C:$C,adProjScenario,PrdAdBilan!$D:$D,adProjIteration,PrdAdBilan!$G:$G,adProjCdCanton)</f>
        <v>0</v>
      </c>
      <c r="AX195" s="76">
        <f>SUMIFS(PrdAdBilan!$N:$N,PrdAdBilan!$B:$B,adProjChocS2,PrdAdBilan!$C:$C,adProjScenario,PrdAdBilan!$D:$D,adProjIteration,PrdAdBilan!$G:$G,adProjCdCanton)</f>
        <v>0</v>
      </c>
      <c r="AY195" s="76">
        <f>SUMIFS(PrdAdBilan!$N:$N,PrdAdBilan!$B:$B,adProjChocS2,PrdAdBilan!$C:$C,adProjScenario,PrdAdBilan!$D:$D,adProjIteration,PrdAdBilan!$G:$G,adProjCdCanton)</f>
        <v>0</v>
      </c>
      <c r="AZ195" s="76">
        <f>SUMIFS(PrdAdBilan!$N:$N,PrdAdBilan!$B:$B,adProjChocS2,PrdAdBilan!$C:$C,adProjScenario,PrdAdBilan!$D:$D,adProjIteration,PrdAdBilan!$G:$G,adProjCdCanton)</f>
        <v>0</v>
      </c>
      <c r="BA195" s="76">
        <f>SUMIFS(PrdAdBilan!$N:$N,PrdAdBilan!$B:$B,adProjChocS2,PrdAdBilan!$C:$C,adProjScenario,PrdAdBilan!$D:$D,adProjIteration,PrdAdBilan!$G:$G,adProjCdCanton)</f>
        <v>0</v>
      </c>
      <c r="BB195" s="76">
        <f>SUMIFS(PrdAdBilan!$N:$N,PrdAdBilan!$B:$B,adProjChocS2,PrdAdBilan!$C:$C,adProjScenario,PrdAdBilan!$D:$D,adProjIteration,PrdAdBilan!$G:$G,adProjCdCanton)</f>
        <v>0</v>
      </c>
    </row>
    <row r="196" spans="1:54" ht="16.5" x14ac:dyDescent="0.3">
      <c r="A196" s="16"/>
      <c r="B196" s="74"/>
      <c r="C196" s="77" t="s">
        <v>156</v>
      </c>
      <c r="D196" s="76">
        <f>adCrSoldePb</f>
        <v>0</v>
      </c>
      <c r="E196" s="76">
        <f t="shared" ref="E196:AJ196" si="69">adCrSoldePb+adMrgBeg</f>
        <v>0</v>
      </c>
      <c r="F196" s="76">
        <f t="shared" si="69"/>
        <v>0</v>
      </c>
      <c r="G196" s="76">
        <f t="shared" si="69"/>
        <v>0</v>
      </c>
      <c r="H196" s="76">
        <f t="shared" si="69"/>
        <v>0</v>
      </c>
      <c r="I196" s="76">
        <f t="shared" si="69"/>
        <v>0</v>
      </c>
      <c r="J196" s="76">
        <f t="shared" si="69"/>
        <v>0</v>
      </c>
      <c r="K196" s="76">
        <f t="shared" si="69"/>
        <v>0</v>
      </c>
      <c r="L196" s="76">
        <f t="shared" si="69"/>
        <v>0</v>
      </c>
      <c r="M196" s="76">
        <f t="shared" si="69"/>
        <v>0</v>
      </c>
      <c r="N196" s="76">
        <f t="shared" si="69"/>
        <v>0</v>
      </c>
      <c r="O196" s="76">
        <f t="shared" si="69"/>
        <v>0</v>
      </c>
      <c r="P196" s="76">
        <f t="shared" si="69"/>
        <v>0</v>
      </c>
      <c r="Q196" s="76">
        <f t="shared" si="69"/>
        <v>0</v>
      </c>
      <c r="R196" s="76">
        <f t="shared" si="69"/>
        <v>0</v>
      </c>
      <c r="S196" s="76">
        <f t="shared" si="69"/>
        <v>0</v>
      </c>
      <c r="T196" s="76">
        <f t="shared" si="69"/>
        <v>0</v>
      </c>
      <c r="U196" s="76">
        <f t="shared" si="69"/>
        <v>0</v>
      </c>
      <c r="V196" s="76">
        <f t="shared" si="69"/>
        <v>0</v>
      </c>
      <c r="W196" s="76">
        <f t="shared" si="69"/>
        <v>0</v>
      </c>
      <c r="X196" s="76">
        <f t="shared" si="69"/>
        <v>0</v>
      </c>
      <c r="Y196" s="76">
        <f t="shared" si="69"/>
        <v>0</v>
      </c>
      <c r="Z196" s="76">
        <f t="shared" si="69"/>
        <v>0</v>
      </c>
      <c r="AA196" s="76">
        <f t="shared" si="69"/>
        <v>0</v>
      </c>
      <c r="AB196" s="76">
        <f t="shared" si="69"/>
        <v>0</v>
      </c>
      <c r="AC196" s="76">
        <f t="shared" si="69"/>
        <v>0</v>
      </c>
      <c r="AD196" s="76">
        <f t="shared" si="69"/>
        <v>0</v>
      </c>
      <c r="AE196" s="76">
        <f t="shared" si="69"/>
        <v>0</v>
      </c>
      <c r="AF196" s="76">
        <f t="shared" si="69"/>
        <v>0</v>
      </c>
      <c r="AG196" s="76">
        <f t="shared" si="69"/>
        <v>0</v>
      </c>
      <c r="AH196" s="76">
        <f t="shared" si="69"/>
        <v>0</v>
      </c>
      <c r="AI196" s="76">
        <f t="shared" si="69"/>
        <v>0</v>
      </c>
      <c r="AJ196" s="76">
        <f t="shared" si="69"/>
        <v>0</v>
      </c>
      <c r="AK196" s="76">
        <f t="shared" ref="AK196:BB196" si="70">adCrSoldePb+adMrgBeg</f>
        <v>0</v>
      </c>
      <c r="AL196" s="76">
        <f t="shared" si="70"/>
        <v>0</v>
      </c>
      <c r="AM196" s="76">
        <f t="shared" si="70"/>
        <v>0</v>
      </c>
      <c r="AN196" s="76">
        <f t="shared" si="70"/>
        <v>0</v>
      </c>
      <c r="AO196" s="76">
        <f t="shared" si="70"/>
        <v>0</v>
      </c>
      <c r="AP196" s="76">
        <f t="shared" si="70"/>
        <v>0</v>
      </c>
      <c r="AQ196" s="76">
        <f t="shared" si="70"/>
        <v>0</v>
      </c>
      <c r="AR196" s="76">
        <f t="shared" si="70"/>
        <v>0</v>
      </c>
      <c r="AS196" s="76">
        <f t="shared" si="70"/>
        <v>0</v>
      </c>
      <c r="AT196" s="76">
        <f t="shared" si="70"/>
        <v>0</v>
      </c>
      <c r="AU196" s="76">
        <f t="shared" si="70"/>
        <v>0</v>
      </c>
      <c r="AV196" s="76">
        <f t="shared" si="70"/>
        <v>0</v>
      </c>
      <c r="AW196" s="76">
        <f t="shared" si="70"/>
        <v>0</v>
      </c>
      <c r="AX196" s="76">
        <f t="shared" si="70"/>
        <v>0</v>
      </c>
      <c r="AY196" s="76">
        <f t="shared" si="70"/>
        <v>0</v>
      </c>
      <c r="AZ196" s="76">
        <f t="shared" si="70"/>
        <v>0</v>
      </c>
      <c r="BA196" s="76">
        <f t="shared" si="70"/>
        <v>0</v>
      </c>
      <c r="BB196" s="76">
        <f t="shared" si="70"/>
        <v>0</v>
      </c>
    </row>
    <row r="197" spans="1:54" ht="16.5" x14ac:dyDescent="0.3">
      <c r="A197" s="16"/>
      <c r="B197" s="74"/>
      <c r="C197" s="77" t="s">
        <v>157</v>
      </c>
      <c r="D197" s="76">
        <f>SUM(D190:D196)</f>
        <v>0</v>
      </c>
      <c r="E197" s="76">
        <f>SUM(E190:E196)</f>
        <v>0</v>
      </c>
      <c r="F197" s="76">
        <f t="shared" ref="F197:BB197" si="71">SUM(F190:F196)</f>
        <v>0</v>
      </c>
      <c r="G197" s="76">
        <f t="shared" si="71"/>
        <v>0</v>
      </c>
      <c r="H197" s="76">
        <f t="shared" si="71"/>
        <v>0</v>
      </c>
      <c r="I197" s="76">
        <f t="shared" si="71"/>
        <v>0</v>
      </c>
      <c r="J197" s="76">
        <f t="shared" si="71"/>
        <v>0</v>
      </c>
      <c r="K197" s="76">
        <f t="shared" si="71"/>
        <v>0</v>
      </c>
      <c r="L197" s="76">
        <f t="shared" si="71"/>
        <v>0</v>
      </c>
      <c r="M197" s="76">
        <f t="shared" si="71"/>
        <v>0</v>
      </c>
      <c r="N197" s="76">
        <f t="shared" si="71"/>
        <v>0</v>
      </c>
      <c r="O197" s="76">
        <f t="shared" si="71"/>
        <v>0</v>
      </c>
      <c r="P197" s="76">
        <f t="shared" si="71"/>
        <v>0</v>
      </c>
      <c r="Q197" s="76">
        <f t="shared" si="71"/>
        <v>0</v>
      </c>
      <c r="R197" s="76">
        <f t="shared" si="71"/>
        <v>0</v>
      </c>
      <c r="S197" s="76">
        <f t="shared" si="71"/>
        <v>0</v>
      </c>
      <c r="T197" s="76">
        <f t="shared" si="71"/>
        <v>0</v>
      </c>
      <c r="U197" s="76">
        <f t="shared" si="71"/>
        <v>0</v>
      </c>
      <c r="V197" s="76">
        <f t="shared" si="71"/>
        <v>0</v>
      </c>
      <c r="W197" s="76">
        <f t="shared" si="71"/>
        <v>0</v>
      </c>
      <c r="X197" s="76">
        <f t="shared" si="71"/>
        <v>0</v>
      </c>
      <c r="Y197" s="76">
        <f t="shared" si="71"/>
        <v>0</v>
      </c>
      <c r="Z197" s="76">
        <f t="shared" si="71"/>
        <v>0</v>
      </c>
      <c r="AA197" s="76">
        <f t="shared" si="71"/>
        <v>0</v>
      </c>
      <c r="AB197" s="76">
        <f t="shared" si="71"/>
        <v>0</v>
      </c>
      <c r="AC197" s="76">
        <f t="shared" si="71"/>
        <v>0</v>
      </c>
      <c r="AD197" s="76">
        <f t="shared" si="71"/>
        <v>0</v>
      </c>
      <c r="AE197" s="76">
        <f t="shared" si="71"/>
        <v>0</v>
      </c>
      <c r="AF197" s="76">
        <f t="shared" si="71"/>
        <v>0</v>
      </c>
      <c r="AG197" s="76">
        <f t="shared" si="71"/>
        <v>0</v>
      </c>
      <c r="AH197" s="76">
        <f t="shared" si="71"/>
        <v>0</v>
      </c>
      <c r="AI197" s="76">
        <f t="shared" si="71"/>
        <v>0</v>
      </c>
      <c r="AJ197" s="76">
        <f t="shared" si="71"/>
        <v>0</v>
      </c>
      <c r="AK197" s="76">
        <f t="shared" si="71"/>
        <v>0</v>
      </c>
      <c r="AL197" s="76">
        <f t="shared" si="71"/>
        <v>0</v>
      </c>
      <c r="AM197" s="76">
        <f t="shared" si="71"/>
        <v>0</v>
      </c>
      <c r="AN197" s="76">
        <f t="shared" si="71"/>
        <v>0</v>
      </c>
      <c r="AO197" s="76">
        <f t="shared" si="71"/>
        <v>0</v>
      </c>
      <c r="AP197" s="76">
        <f t="shared" si="71"/>
        <v>0</v>
      </c>
      <c r="AQ197" s="76">
        <f t="shared" si="71"/>
        <v>0</v>
      </c>
      <c r="AR197" s="76">
        <f t="shared" si="71"/>
        <v>0</v>
      </c>
      <c r="AS197" s="76">
        <f t="shared" si="71"/>
        <v>0</v>
      </c>
      <c r="AT197" s="76">
        <f t="shared" si="71"/>
        <v>0</v>
      </c>
      <c r="AU197" s="76">
        <f t="shared" si="71"/>
        <v>0</v>
      </c>
      <c r="AV197" s="76">
        <f t="shared" si="71"/>
        <v>0</v>
      </c>
      <c r="AW197" s="76">
        <f t="shared" si="71"/>
        <v>0</v>
      </c>
      <c r="AX197" s="76">
        <f t="shared" si="71"/>
        <v>0</v>
      </c>
      <c r="AY197" s="76">
        <f t="shared" si="71"/>
        <v>0</v>
      </c>
      <c r="AZ197" s="76">
        <f t="shared" si="71"/>
        <v>0</v>
      </c>
      <c r="BA197" s="76">
        <f t="shared" si="71"/>
        <v>0</v>
      </c>
      <c r="BB197" s="76">
        <f t="shared" si="71"/>
        <v>0</v>
      </c>
    </row>
    <row r="198" spans="1:54" ht="16.5" x14ac:dyDescent="0.3">
      <c r="A198" s="16"/>
      <c r="B198" s="74"/>
      <c r="C198" s="77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</row>
    <row r="199" spans="1:54" ht="16.5" x14ac:dyDescent="0.3">
      <c r="A199" s="16"/>
      <c r="B199" s="74"/>
      <c r="C199" s="77" t="s">
        <v>158</v>
      </c>
      <c r="D199" s="76">
        <f>SUMIFS(PrdAdBilan!$O:$O,PrdAdBilan!$B:$B,adProjChocS2,PrdAdBilan!$C:$C,adProjScenario,PrdAdBilan!$D:$D,adProjIteration,PrdAdBilan!$G:$G,adProjCdCanton)</f>
        <v>0</v>
      </c>
      <c r="E199" s="76">
        <f>SUMIFS(PrdAdBilan!$O:$O,PrdAdBilan!$B:$B,adProjChocS2,PrdAdBilan!$C:$C,adProjScenario,PrdAdBilan!$D:$D,adProjIteration,PrdAdBilan!$G:$G,adProjCdCanton)</f>
        <v>0</v>
      </c>
      <c r="F199" s="76">
        <f>SUMIFS(PrdAdBilan!$O:$O,PrdAdBilan!$B:$B,adProjChocS2,PrdAdBilan!$C:$C,adProjScenario,PrdAdBilan!$D:$D,adProjIteration,PrdAdBilan!$G:$G,adProjCdCanton)</f>
        <v>0</v>
      </c>
      <c r="G199" s="76">
        <f>SUMIFS(PrdAdBilan!$O:$O,PrdAdBilan!$B:$B,adProjChocS2,PrdAdBilan!$C:$C,adProjScenario,PrdAdBilan!$D:$D,adProjIteration,PrdAdBilan!$G:$G,adProjCdCanton)</f>
        <v>0</v>
      </c>
      <c r="H199" s="76">
        <f>SUMIFS(PrdAdBilan!$O:$O,PrdAdBilan!$B:$B,adProjChocS2,PrdAdBilan!$C:$C,adProjScenario,PrdAdBilan!$D:$D,adProjIteration,PrdAdBilan!$G:$G,adProjCdCanton)</f>
        <v>0</v>
      </c>
      <c r="I199" s="76">
        <f>SUMIFS(PrdAdBilan!$O:$O,PrdAdBilan!$B:$B,adProjChocS2,PrdAdBilan!$C:$C,adProjScenario,PrdAdBilan!$D:$D,adProjIteration,PrdAdBilan!$G:$G,adProjCdCanton)</f>
        <v>0</v>
      </c>
      <c r="J199" s="76">
        <f>SUMIFS(PrdAdBilan!$O:$O,PrdAdBilan!$B:$B,adProjChocS2,PrdAdBilan!$C:$C,adProjScenario,PrdAdBilan!$D:$D,adProjIteration,PrdAdBilan!$G:$G,adProjCdCanton)</f>
        <v>0</v>
      </c>
      <c r="K199" s="76">
        <f>SUMIFS(PrdAdBilan!$O:$O,PrdAdBilan!$B:$B,adProjChocS2,PrdAdBilan!$C:$C,adProjScenario,PrdAdBilan!$D:$D,adProjIteration,PrdAdBilan!$G:$G,adProjCdCanton)</f>
        <v>0</v>
      </c>
      <c r="L199" s="76">
        <f>SUMIFS(PrdAdBilan!$O:$O,PrdAdBilan!$B:$B,adProjChocS2,PrdAdBilan!$C:$C,adProjScenario,PrdAdBilan!$D:$D,adProjIteration,PrdAdBilan!$G:$G,adProjCdCanton)</f>
        <v>0</v>
      </c>
      <c r="M199" s="76">
        <f>SUMIFS(PrdAdBilan!$O:$O,PrdAdBilan!$B:$B,adProjChocS2,PrdAdBilan!$C:$C,adProjScenario,PrdAdBilan!$D:$D,adProjIteration,PrdAdBilan!$G:$G,adProjCdCanton)</f>
        <v>0</v>
      </c>
      <c r="N199" s="76">
        <f>SUMIFS(PrdAdBilan!$O:$O,PrdAdBilan!$B:$B,adProjChocS2,PrdAdBilan!$C:$C,adProjScenario,PrdAdBilan!$D:$D,adProjIteration,PrdAdBilan!$G:$G,adProjCdCanton)</f>
        <v>0</v>
      </c>
      <c r="O199" s="76">
        <f>SUMIFS(PrdAdBilan!$O:$O,PrdAdBilan!$B:$B,adProjChocS2,PrdAdBilan!$C:$C,adProjScenario,PrdAdBilan!$D:$D,adProjIteration,PrdAdBilan!$G:$G,adProjCdCanton)</f>
        <v>0</v>
      </c>
      <c r="P199" s="76">
        <f>SUMIFS(PrdAdBilan!$O:$O,PrdAdBilan!$B:$B,adProjChocS2,PrdAdBilan!$C:$C,adProjScenario,PrdAdBilan!$D:$D,adProjIteration,PrdAdBilan!$G:$G,adProjCdCanton)</f>
        <v>0</v>
      </c>
      <c r="Q199" s="76">
        <f>SUMIFS(PrdAdBilan!$O:$O,PrdAdBilan!$B:$B,adProjChocS2,PrdAdBilan!$C:$C,adProjScenario,PrdAdBilan!$D:$D,adProjIteration,PrdAdBilan!$G:$G,adProjCdCanton)</f>
        <v>0</v>
      </c>
      <c r="R199" s="76">
        <f>SUMIFS(PrdAdBilan!$O:$O,PrdAdBilan!$B:$B,adProjChocS2,PrdAdBilan!$C:$C,adProjScenario,PrdAdBilan!$D:$D,adProjIteration,PrdAdBilan!$G:$G,adProjCdCanton)</f>
        <v>0</v>
      </c>
      <c r="S199" s="76">
        <f>SUMIFS(PrdAdBilan!$O:$O,PrdAdBilan!$B:$B,adProjChocS2,PrdAdBilan!$C:$C,adProjScenario,PrdAdBilan!$D:$D,adProjIteration,PrdAdBilan!$G:$G,adProjCdCanton)</f>
        <v>0</v>
      </c>
      <c r="T199" s="76">
        <f>SUMIFS(PrdAdBilan!$O:$O,PrdAdBilan!$B:$B,adProjChocS2,PrdAdBilan!$C:$C,adProjScenario,PrdAdBilan!$D:$D,adProjIteration,PrdAdBilan!$G:$G,adProjCdCanton)</f>
        <v>0</v>
      </c>
      <c r="U199" s="76">
        <f>SUMIFS(PrdAdBilan!$O:$O,PrdAdBilan!$B:$B,adProjChocS2,PrdAdBilan!$C:$C,adProjScenario,PrdAdBilan!$D:$D,adProjIteration,PrdAdBilan!$G:$G,adProjCdCanton)</f>
        <v>0</v>
      </c>
      <c r="V199" s="76">
        <f>SUMIFS(PrdAdBilan!$O:$O,PrdAdBilan!$B:$B,adProjChocS2,PrdAdBilan!$C:$C,adProjScenario,PrdAdBilan!$D:$D,adProjIteration,PrdAdBilan!$G:$G,adProjCdCanton)</f>
        <v>0</v>
      </c>
      <c r="W199" s="76">
        <f>SUMIFS(PrdAdBilan!$O:$O,PrdAdBilan!$B:$B,adProjChocS2,PrdAdBilan!$C:$C,adProjScenario,PrdAdBilan!$D:$D,adProjIteration,PrdAdBilan!$G:$G,adProjCdCanton)</f>
        <v>0</v>
      </c>
      <c r="X199" s="76">
        <f>SUMIFS(PrdAdBilan!$O:$O,PrdAdBilan!$B:$B,adProjChocS2,PrdAdBilan!$C:$C,adProjScenario,PrdAdBilan!$D:$D,adProjIteration,PrdAdBilan!$G:$G,adProjCdCanton)</f>
        <v>0</v>
      </c>
      <c r="Y199" s="76">
        <f>SUMIFS(PrdAdBilan!$O:$O,PrdAdBilan!$B:$B,adProjChocS2,PrdAdBilan!$C:$C,adProjScenario,PrdAdBilan!$D:$D,adProjIteration,PrdAdBilan!$G:$G,adProjCdCanton)</f>
        <v>0</v>
      </c>
      <c r="Z199" s="76">
        <f>SUMIFS(PrdAdBilan!$O:$O,PrdAdBilan!$B:$B,adProjChocS2,PrdAdBilan!$C:$C,adProjScenario,PrdAdBilan!$D:$D,adProjIteration,PrdAdBilan!$G:$G,adProjCdCanton)</f>
        <v>0</v>
      </c>
      <c r="AA199" s="76">
        <f>SUMIFS(PrdAdBilan!$O:$O,PrdAdBilan!$B:$B,adProjChocS2,PrdAdBilan!$C:$C,adProjScenario,PrdAdBilan!$D:$D,adProjIteration,PrdAdBilan!$G:$G,adProjCdCanton)</f>
        <v>0</v>
      </c>
      <c r="AB199" s="76">
        <f>SUMIFS(PrdAdBilan!$O:$O,PrdAdBilan!$B:$B,adProjChocS2,PrdAdBilan!$C:$C,adProjScenario,PrdAdBilan!$D:$D,adProjIteration,PrdAdBilan!$G:$G,adProjCdCanton)</f>
        <v>0</v>
      </c>
      <c r="AC199" s="76">
        <f>SUMIFS(PrdAdBilan!$O:$O,PrdAdBilan!$B:$B,adProjChocS2,PrdAdBilan!$C:$C,adProjScenario,PrdAdBilan!$D:$D,adProjIteration,PrdAdBilan!$G:$G,adProjCdCanton)</f>
        <v>0</v>
      </c>
      <c r="AD199" s="76">
        <f>SUMIFS(PrdAdBilan!$O:$O,PrdAdBilan!$B:$B,adProjChocS2,PrdAdBilan!$C:$C,adProjScenario,PrdAdBilan!$D:$D,adProjIteration,PrdAdBilan!$G:$G,adProjCdCanton)</f>
        <v>0</v>
      </c>
      <c r="AE199" s="76">
        <f>SUMIFS(PrdAdBilan!$O:$O,PrdAdBilan!$B:$B,adProjChocS2,PrdAdBilan!$C:$C,adProjScenario,PrdAdBilan!$D:$D,adProjIteration,PrdAdBilan!$G:$G,adProjCdCanton)</f>
        <v>0</v>
      </c>
      <c r="AF199" s="76">
        <f>SUMIFS(PrdAdBilan!$O:$O,PrdAdBilan!$B:$B,adProjChocS2,PrdAdBilan!$C:$C,adProjScenario,PrdAdBilan!$D:$D,adProjIteration,PrdAdBilan!$G:$G,adProjCdCanton)</f>
        <v>0</v>
      </c>
      <c r="AG199" s="76">
        <f>SUMIFS(PrdAdBilan!$O:$O,PrdAdBilan!$B:$B,adProjChocS2,PrdAdBilan!$C:$C,adProjScenario,PrdAdBilan!$D:$D,adProjIteration,PrdAdBilan!$G:$G,adProjCdCanton)</f>
        <v>0</v>
      </c>
      <c r="AH199" s="76">
        <f>SUMIFS(PrdAdBilan!$O:$O,PrdAdBilan!$B:$B,adProjChocS2,PrdAdBilan!$C:$C,adProjScenario,PrdAdBilan!$D:$D,adProjIteration,PrdAdBilan!$G:$G,adProjCdCanton)</f>
        <v>0</v>
      </c>
      <c r="AI199" s="76">
        <f>SUMIFS(PrdAdBilan!$O:$O,PrdAdBilan!$B:$B,adProjChocS2,PrdAdBilan!$C:$C,adProjScenario,PrdAdBilan!$D:$D,adProjIteration,PrdAdBilan!$G:$G,adProjCdCanton)</f>
        <v>0</v>
      </c>
      <c r="AJ199" s="76">
        <f>SUMIFS(PrdAdBilan!$O:$O,PrdAdBilan!$B:$B,adProjChocS2,PrdAdBilan!$C:$C,adProjScenario,PrdAdBilan!$D:$D,adProjIteration,PrdAdBilan!$G:$G,adProjCdCanton)</f>
        <v>0</v>
      </c>
      <c r="AK199" s="76">
        <f>SUMIFS(PrdAdBilan!$O:$O,PrdAdBilan!$B:$B,adProjChocS2,PrdAdBilan!$C:$C,adProjScenario,PrdAdBilan!$D:$D,adProjIteration,PrdAdBilan!$G:$G,adProjCdCanton)</f>
        <v>0</v>
      </c>
      <c r="AL199" s="76">
        <f>SUMIFS(PrdAdBilan!$O:$O,PrdAdBilan!$B:$B,adProjChocS2,PrdAdBilan!$C:$C,adProjScenario,PrdAdBilan!$D:$D,adProjIteration,PrdAdBilan!$G:$G,adProjCdCanton)</f>
        <v>0</v>
      </c>
      <c r="AM199" s="76">
        <f>SUMIFS(PrdAdBilan!$O:$O,PrdAdBilan!$B:$B,adProjChocS2,PrdAdBilan!$C:$C,adProjScenario,PrdAdBilan!$D:$D,adProjIteration,PrdAdBilan!$G:$G,adProjCdCanton)</f>
        <v>0</v>
      </c>
      <c r="AN199" s="76">
        <f>SUMIFS(PrdAdBilan!$O:$O,PrdAdBilan!$B:$B,adProjChocS2,PrdAdBilan!$C:$C,adProjScenario,PrdAdBilan!$D:$D,adProjIteration,PrdAdBilan!$G:$G,adProjCdCanton)</f>
        <v>0</v>
      </c>
      <c r="AO199" s="76">
        <f>SUMIFS(PrdAdBilan!$O:$O,PrdAdBilan!$B:$B,adProjChocS2,PrdAdBilan!$C:$C,adProjScenario,PrdAdBilan!$D:$D,adProjIteration,PrdAdBilan!$G:$G,adProjCdCanton)</f>
        <v>0</v>
      </c>
      <c r="AP199" s="76">
        <f>SUMIFS(PrdAdBilan!$O:$O,PrdAdBilan!$B:$B,adProjChocS2,PrdAdBilan!$C:$C,adProjScenario,PrdAdBilan!$D:$D,adProjIteration,PrdAdBilan!$G:$G,adProjCdCanton)</f>
        <v>0</v>
      </c>
      <c r="AQ199" s="76">
        <f>SUMIFS(PrdAdBilan!$O:$O,PrdAdBilan!$B:$B,adProjChocS2,PrdAdBilan!$C:$C,adProjScenario,PrdAdBilan!$D:$D,adProjIteration,PrdAdBilan!$G:$G,adProjCdCanton)</f>
        <v>0</v>
      </c>
      <c r="AR199" s="76">
        <f>SUMIFS(PrdAdBilan!$O:$O,PrdAdBilan!$B:$B,adProjChocS2,PrdAdBilan!$C:$C,adProjScenario,PrdAdBilan!$D:$D,adProjIteration,PrdAdBilan!$G:$G,adProjCdCanton)</f>
        <v>0</v>
      </c>
      <c r="AS199" s="76">
        <f>SUMIFS(PrdAdBilan!$O:$O,PrdAdBilan!$B:$B,adProjChocS2,PrdAdBilan!$C:$C,adProjScenario,PrdAdBilan!$D:$D,adProjIteration,PrdAdBilan!$G:$G,adProjCdCanton)</f>
        <v>0</v>
      </c>
      <c r="AT199" s="76">
        <f>SUMIFS(PrdAdBilan!$O:$O,PrdAdBilan!$B:$B,adProjChocS2,PrdAdBilan!$C:$C,adProjScenario,PrdAdBilan!$D:$D,adProjIteration,PrdAdBilan!$G:$G,adProjCdCanton)</f>
        <v>0</v>
      </c>
      <c r="AU199" s="76">
        <f>SUMIFS(PrdAdBilan!$O:$O,PrdAdBilan!$B:$B,adProjChocS2,PrdAdBilan!$C:$C,adProjScenario,PrdAdBilan!$D:$D,adProjIteration,PrdAdBilan!$G:$G,adProjCdCanton)</f>
        <v>0</v>
      </c>
      <c r="AV199" s="76">
        <f>SUMIFS(PrdAdBilan!$O:$O,PrdAdBilan!$B:$B,adProjChocS2,PrdAdBilan!$C:$C,adProjScenario,PrdAdBilan!$D:$D,adProjIteration,PrdAdBilan!$G:$G,adProjCdCanton)</f>
        <v>0</v>
      </c>
      <c r="AW199" s="76">
        <f>SUMIFS(PrdAdBilan!$O:$O,PrdAdBilan!$B:$B,adProjChocS2,PrdAdBilan!$C:$C,adProjScenario,PrdAdBilan!$D:$D,adProjIteration,PrdAdBilan!$G:$G,adProjCdCanton)</f>
        <v>0</v>
      </c>
      <c r="AX199" s="76">
        <f>SUMIFS(PrdAdBilan!$O:$O,PrdAdBilan!$B:$B,adProjChocS2,PrdAdBilan!$C:$C,adProjScenario,PrdAdBilan!$D:$D,adProjIteration,PrdAdBilan!$G:$G,adProjCdCanton)</f>
        <v>0</v>
      </c>
      <c r="AY199" s="76">
        <f>SUMIFS(PrdAdBilan!$O:$O,PrdAdBilan!$B:$B,adProjChocS2,PrdAdBilan!$C:$C,adProjScenario,PrdAdBilan!$D:$D,adProjIteration,PrdAdBilan!$G:$G,adProjCdCanton)</f>
        <v>0</v>
      </c>
      <c r="AZ199" s="76">
        <f>SUMIFS(PrdAdBilan!$O:$O,PrdAdBilan!$B:$B,adProjChocS2,PrdAdBilan!$C:$C,adProjScenario,PrdAdBilan!$D:$D,adProjIteration,PrdAdBilan!$G:$G,adProjCdCanton)</f>
        <v>0</v>
      </c>
      <c r="BA199" s="76">
        <f>SUMIFS(PrdAdBilan!$O:$O,PrdAdBilan!$B:$B,adProjChocS2,PrdAdBilan!$C:$C,adProjScenario,PrdAdBilan!$D:$D,adProjIteration,PrdAdBilan!$G:$G,adProjCdCanton)</f>
        <v>0</v>
      </c>
      <c r="BB199" s="76">
        <f>SUMIFS(PrdAdBilan!$O:$O,PrdAdBilan!$B:$B,adProjChocS2,PrdAdBilan!$C:$C,adProjScenario,PrdAdBilan!$D:$D,adProjIteration,PrdAdBilan!$G:$G,adProjCdCanton)</f>
        <v>0</v>
      </c>
    </row>
    <row r="200" spans="1:54" ht="16.5" x14ac:dyDescent="0.3">
      <c r="A200" s="16"/>
      <c r="B200" s="74"/>
      <c r="C200" s="80" t="s">
        <v>159</v>
      </c>
      <c r="D200" s="46" t="b">
        <f t="shared" ref="D200:AI200" si="72">ABS(adBilanFuite)&lt;10</f>
        <v>1</v>
      </c>
      <c r="E200" s="46" t="b">
        <f t="shared" si="72"/>
        <v>1</v>
      </c>
      <c r="F200" s="46" t="b">
        <f t="shared" si="72"/>
        <v>1</v>
      </c>
      <c r="G200" s="46" t="b">
        <f t="shared" si="72"/>
        <v>1</v>
      </c>
      <c r="H200" s="46" t="b">
        <f t="shared" si="72"/>
        <v>1</v>
      </c>
      <c r="I200" s="46" t="b">
        <f t="shared" si="72"/>
        <v>1</v>
      </c>
      <c r="J200" s="46" t="b">
        <f t="shared" si="72"/>
        <v>1</v>
      </c>
      <c r="K200" s="46" t="b">
        <f t="shared" si="72"/>
        <v>1</v>
      </c>
      <c r="L200" s="46" t="b">
        <f t="shared" si="72"/>
        <v>1</v>
      </c>
      <c r="M200" s="46" t="b">
        <f t="shared" si="72"/>
        <v>1</v>
      </c>
      <c r="N200" s="46" t="b">
        <f t="shared" si="72"/>
        <v>1</v>
      </c>
      <c r="O200" s="46" t="b">
        <f t="shared" si="72"/>
        <v>1</v>
      </c>
      <c r="P200" s="46" t="b">
        <f t="shared" si="72"/>
        <v>1</v>
      </c>
      <c r="Q200" s="46" t="b">
        <f t="shared" si="72"/>
        <v>1</v>
      </c>
      <c r="R200" s="46" t="b">
        <f t="shared" si="72"/>
        <v>1</v>
      </c>
      <c r="S200" s="46" t="b">
        <f t="shared" si="72"/>
        <v>1</v>
      </c>
      <c r="T200" s="46" t="b">
        <f t="shared" si="72"/>
        <v>1</v>
      </c>
      <c r="U200" s="46" t="b">
        <f t="shared" si="72"/>
        <v>1</v>
      </c>
      <c r="V200" s="46" t="b">
        <f t="shared" si="72"/>
        <v>1</v>
      </c>
      <c r="W200" s="46" t="b">
        <f t="shared" si="72"/>
        <v>1</v>
      </c>
      <c r="X200" s="46" t="b">
        <f t="shared" si="72"/>
        <v>1</v>
      </c>
      <c r="Y200" s="46" t="b">
        <f t="shared" si="72"/>
        <v>1</v>
      </c>
      <c r="Z200" s="46" t="b">
        <f t="shared" si="72"/>
        <v>1</v>
      </c>
      <c r="AA200" s="46" t="b">
        <f t="shared" si="72"/>
        <v>1</v>
      </c>
      <c r="AB200" s="46" t="b">
        <f t="shared" si="72"/>
        <v>1</v>
      </c>
      <c r="AC200" s="46" t="b">
        <f t="shared" si="72"/>
        <v>1</v>
      </c>
      <c r="AD200" s="46" t="b">
        <f t="shared" si="72"/>
        <v>1</v>
      </c>
      <c r="AE200" s="46" t="b">
        <f t="shared" si="72"/>
        <v>1</v>
      </c>
      <c r="AF200" s="46" t="b">
        <f t="shared" si="72"/>
        <v>1</v>
      </c>
      <c r="AG200" s="46" t="b">
        <f t="shared" si="72"/>
        <v>1</v>
      </c>
      <c r="AH200" s="46" t="b">
        <f t="shared" si="72"/>
        <v>1</v>
      </c>
      <c r="AI200" s="46" t="b">
        <f t="shared" si="72"/>
        <v>1</v>
      </c>
      <c r="AJ200" s="46" t="b">
        <f t="shared" ref="AJ200:BB200" si="73">ABS(adBilanFuite)&lt;10</f>
        <v>1</v>
      </c>
      <c r="AK200" s="46" t="b">
        <f t="shared" si="73"/>
        <v>1</v>
      </c>
      <c r="AL200" s="46" t="b">
        <f t="shared" si="73"/>
        <v>1</v>
      </c>
      <c r="AM200" s="46" t="b">
        <f t="shared" si="73"/>
        <v>1</v>
      </c>
      <c r="AN200" s="46" t="b">
        <f t="shared" si="73"/>
        <v>1</v>
      </c>
      <c r="AO200" s="46" t="b">
        <f t="shared" si="73"/>
        <v>1</v>
      </c>
      <c r="AP200" s="46" t="b">
        <f t="shared" si="73"/>
        <v>1</v>
      </c>
      <c r="AQ200" s="46" t="b">
        <f t="shared" si="73"/>
        <v>1</v>
      </c>
      <c r="AR200" s="46" t="b">
        <f t="shared" si="73"/>
        <v>1</v>
      </c>
      <c r="AS200" s="46" t="b">
        <f t="shared" si="73"/>
        <v>1</v>
      </c>
      <c r="AT200" s="46" t="b">
        <f t="shared" si="73"/>
        <v>1</v>
      </c>
      <c r="AU200" s="46" t="b">
        <f t="shared" si="73"/>
        <v>1</v>
      </c>
      <c r="AV200" s="46" t="b">
        <f t="shared" si="73"/>
        <v>1</v>
      </c>
      <c r="AW200" s="46" t="b">
        <f t="shared" si="73"/>
        <v>1</v>
      </c>
      <c r="AX200" s="46" t="b">
        <f t="shared" si="73"/>
        <v>1</v>
      </c>
      <c r="AY200" s="46" t="b">
        <f t="shared" si="73"/>
        <v>1</v>
      </c>
      <c r="AZ200" s="46" t="b">
        <f t="shared" si="73"/>
        <v>1</v>
      </c>
      <c r="BA200" s="46" t="b">
        <f t="shared" si="73"/>
        <v>1</v>
      </c>
      <c r="BB200" s="46" t="b">
        <f t="shared" si="73"/>
        <v>1</v>
      </c>
    </row>
    <row r="201" spans="1:54" ht="16.5" x14ac:dyDescent="0.3">
      <c r="A201" s="16"/>
      <c r="B201" s="74"/>
      <c r="C201" s="80" t="s">
        <v>160</v>
      </c>
      <c r="D201" s="81"/>
      <c r="E201" s="76">
        <f t="shared" ref="E201:AJ201" si="74">adBilanVcPassifTot-adBilanVcTot</f>
        <v>0</v>
      </c>
      <c r="F201" s="76">
        <f t="shared" si="74"/>
        <v>0</v>
      </c>
      <c r="G201" s="76">
        <f t="shared" si="74"/>
        <v>0</v>
      </c>
      <c r="H201" s="76">
        <f t="shared" si="74"/>
        <v>0</v>
      </c>
      <c r="I201" s="76">
        <f t="shared" si="74"/>
        <v>0</v>
      </c>
      <c r="J201" s="76">
        <f t="shared" si="74"/>
        <v>0</v>
      </c>
      <c r="K201" s="76">
        <f t="shared" si="74"/>
        <v>0</v>
      </c>
      <c r="L201" s="76">
        <f t="shared" si="74"/>
        <v>0</v>
      </c>
      <c r="M201" s="76">
        <f t="shared" si="74"/>
        <v>0</v>
      </c>
      <c r="N201" s="76">
        <f t="shared" si="74"/>
        <v>0</v>
      </c>
      <c r="O201" s="76">
        <f t="shared" si="74"/>
        <v>0</v>
      </c>
      <c r="P201" s="76">
        <f t="shared" si="74"/>
        <v>0</v>
      </c>
      <c r="Q201" s="76">
        <f t="shared" si="74"/>
        <v>0</v>
      </c>
      <c r="R201" s="76">
        <f t="shared" si="74"/>
        <v>0</v>
      </c>
      <c r="S201" s="76">
        <f t="shared" si="74"/>
        <v>0</v>
      </c>
      <c r="T201" s="76">
        <f t="shared" si="74"/>
        <v>0</v>
      </c>
      <c r="U201" s="76">
        <f t="shared" si="74"/>
        <v>0</v>
      </c>
      <c r="V201" s="76">
        <f t="shared" si="74"/>
        <v>0</v>
      </c>
      <c r="W201" s="76">
        <f t="shared" si="74"/>
        <v>0</v>
      </c>
      <c r="X201" s="76">
        <f t="shared" si="74"/>
        <v>0</v>
      </c>
      <c r="Y201" s="76">
        <f t="shared" si="74"/>
        <v>0</v>
      </c>
      <c r="Z201" s="76">
        <f t="shared" si="74"/>
        <v>0</v>
      </c>
      <c r="AA201" s="76">
        <f t="shared" si="74"/>
        <v>0</v>
      </c>
      <c r="AB201" s="76">
        <f t="shared" si="74"/>
        <v>0</v>
      </c>
      <c r="AC201" s="76">
        <f t="shared" si="74"/>
        <v>0</v>
      </c>
      <c r="AD201" s="76">
        <f t="shared" si="74"/>
        <v>0</v>
      </c>
      <c r="AE201" s="76">
        <f t="shared" si="74"/>
        <v>0</v>
      </c>
      <c r="AF201" s="76">
        <f t="shared" si="74"/>
        <v>0</v>
      </c>
      <c r="AG201" s="76">
        <f t="shared" si="74"/>
        <v>0</v>
      </c>
      <c r="AH201" s="76">
        <f t="shared" si="74"/>
        <v>0</v>
      </c>
      <c r="AI201" s="76">
        <f t="shared" si="74"/>
        <v>0</v>
      </c>
      <c r="AJ201" s="76">
        <f t="shared" si="74"/>
        <v>0</v>
      </c>
      <c r="AK201" s="76">
        <f t="shared" ref="AK201:BB201" si="75">adBilanVcPassifTot-adBilanVcTot</f>
        <v>0</v>
      </c>
      <c r="AL201" s="76">
        <f t="shared" si="75"/>
        <v>0</v>
      </c>
      <c r="AM201" s="76">
        <f t="shared" si="75"/>
        <v>0</v>
      </c>
      <c r="AN201" s="76">
        <f t="shared" si="75"/>
        <v>0</v>
      </c>
      <c r="AO201" s="76">
        <f t="shared" si="75"/>
        <v>0</v>
      </c>
      <c r="AP201" s="76">
        <f t="shared" si="75"/>
        <v>0</v>
      </c>
      <c r="AQ201" s="76">
        <f t="shared" si="75"/>
        <v>0</v>
      </c>
      <c r="AR201" s="76">
        <f t="shared" si="75"/>
        <v>0</v>
      </c>
      <c r="AS201" s="76">
        <f t="shared" si="75"/>
        <v>0</v>
      </c>
      <c r="AT201" s="76">
        <f t="shared" si="75"/>
        <v>0</v>
      </c>
      <c r="AU201" s="76">
        <f t="shared" si="75"/>
        <v>0</v>
      </c>
      <c r="AV201" s="76">
        <f t="shared" si="75"/>
        <v>0</v>
      </c>
      <c r="AW201" s="76">
        <f t="shared" si="75"/>
        <v>0</v>
      </c>
      <c r="AX201" s="76">
        <f t="shared" si="75"/>
        <v>0</v>
      </c>
      <c r="AY201" s="76">
        <f t="shared" si="75"/>
        <v>0</v>
      </c>
      <c r="AZ201" s="76">
        <f t="shared" si="75"/>
        <v>0</v>
      </c>
      <c r="BA201" s="76">
        <f t="shared" si="75"/>
        <v>0</v>
      </c>
      <c r="BB201" s="76">
        <f t="shared" si="75"/>
        <v>0</v>
      </c>
    </row>
    <row r="202" spans="1:54" ht="16.5" x14ac:dyDescent="0.3">
      <c r="A202" s="16"/>
      <c r="B202" s="74"/>
      <c r="C202" s="80" t="s">
        <v>161</v>
      </c>
      <c r="D202" s="46" t="b">
        <f>AND(E202:BB202)</f>
        <v>1</v>
      </c>
      <c r="E202" s="46" t="b">
        <f t="shared" ref="E202:AJ202" si="76">ABS(adBilanFuiteCalc)&lt;1</f>
        <v>1</v>
      </c>
      <c r="F202" s="46" t="b">
        <f t="shared" si="76"/>
        <v>1</v>
      </c>
      <c r="G202" s="46" t="b">
        <f t="shared" si="76"/>
        <v>1</v>
      </c>
      <c r="H202" s="46" t="b">
        <f t="shared" si="76"/>
        <v>1</v>
      </c>
      <c r="I202" s="46" t="b">
        <f t="shared" si="76"/>
        <v>1</v>
      </c>
      <c r="J202" s="46" t="b">
        <f t="shared" si="76"/>
        <v>1</v>
      </c>
      <c r="K202" s="46" t="b">
        <f t="shared" si="76"/>
        <v>1</v>
      </c>
      <c r="L202" s="46" t="b">
        <f t="shared" si="76"/>
        <v>1</v>
      </c>
      <c r="M202" s="46" t="b">
        <f t="shared" si="76"/>
        <v>1</v>
      </c>
      <c r="N202" s="46" t="b">
        <f t="shared" si="76"/>
        <v>1</v>
      </c>
      <c r="O202" s="46" t="b">
        <f t="shared" si="76"/>
        <v>1</v>
      </c>
      <c r="P202" s="46" t="b">
        <f t="shared" si="76"/>
        <v>1</v>
      </c>
      <c r="Q202" s="46" t="b">
        <f t="shared" si="76"/>
        <v>1</v>
      </c>
      <c r="R202" s="46" t="b">
        <f t="shared" si="76"/>
        <v>1</v>
      </c>
      <c r="S202" s="46" t="b">
        <f t="shared" si="76"/>
        <v>1</v>
      </c>
      <c r="T202" s="46" t="b">
        <f t="shared" si="76"/>
        <v>1</v>
      </c>
      <c r="U202" s="46" t="b">
        <f t="shared" si="76"/>
        <v>1</v>
      </c>
      <c r="V202" s="46" t="b">
        <f t="shared" si="76"/>
        <v>1</v>
      </c>
      <c r="W202" s="46" t="b">
        <f t="shared" si="76"/>
        <v>1</v>
      </c>
      <c r="X202" s="46" t="b">
        <f t="shared" si="76"/>
        <v>1</v>
      </c>
      <c r="Y202" s="46" t="b">
        <f t="shared" si="76"/>
        <v>1</v>
      </c>
      <c r="Z202" s="46" t="b">
        <f t="shared" si="76"/>
        <v>1</v>
      </c>
      <c r="AA202" s="46" t="b">
        <f t="shared" si="76"/>
        <v>1</v>
      </c>
      <c r="AB202" s="46" t="b">
        <f t="shared" si="76"/>
        <v>1</v>
      </c>
      <c r="AC202" s="46" t="b">
        <f t="shared" si="76"/>
        <v>1</v>
      </c>
      <c r="AD202" s="46" t="b">
        <f t="shared" si="76"/>
        <v>1</v>
      </c>
      <c r="AE202" s="46" t="b">
        <f t="shared" si="76"/>
        <v>1</v>
      </c>
      <c r="AF202" s="46" t="b">
        <f t="shared" si="76"/>
        <v>1</v>
      </c>
      <c r="AG202" s="46" t="b">
        <f t="shared" si="76"/>
        <v>1</v>
      </c>
      <c r="AH202" s="46" t="b">
        <f t="shared" si="76"/>
        <v>1</v>
      </c>
      <c r="AI202" s="46" t="b">
        <f t="shared" si="76"/>
        <v>1</v>
      </c>
      <c r="AJ202" s="46" t="b">
        <f t="shared" si="76"/>
        <v>1</v>
      </c>
      <c r="AK202" s="46" t="b">
        <f t="shared" ref="AK202:BB202" si="77">ABS(adBilanFuiteCalc)&lt;1</f>
        <v>1</v>
      </c>
      <c r="AL202" s="46" t="b">
        <f t="shared" si="77"/>
        <v>1</v>
      </c>
      <c r="AM202" s="46" t="b">
        <f t="shared" si="77"/>
        <v>1</v>
      </c>
      <c r="AN202" s="46" t="b">
        <f t="shared" si="77"/>
        <v>1</v>
      </c>
      <c r="AO202" s="46" t="b">
        <f t="shared" si="77"/>
        <v>1</v>
      </c>
      <c r="AP202" s="46" t="b">
        <f t="shared" si="77"/>
        <v>1</v>
      </c>
      <c r="AQ202" s="46" t="b">
        <f t="shared" si="77"/>
        <v>1</v>
      </c>
      <c r="AR202" s="46" t="b">
        <f t="shared" si="77"/>
        <v>1</v>
      </c>
      <c r="AS202" s="46" t="b">
        <f t="shared" si="77"/>
        <v>1</v>
      </c>
      <c r="AT202" s="46" t="b">
        <f t="shared" si="77"/>
        <v>1</v>
      </c>
      <c r="AU202" s="46" t="b">
        <f t="shared" si="77"/>
        <v>1</v>
      </c>
      <c r="AV202" s="46" t="b">
        <f t="shared" si="77"/>
        <v>1</v>
      </c>
      <c r="AW202" s="46" t="b">
        <f t="shared" si="77"/>
        <v>1</v>
      </c>
      <c r="AX202" s="46" t="b">
        <f t="shared" si="77"/>
        <v>1</v>
      </c>
      <c r="AY202" s="46" t="b">
        <f t="shared" si="77"/>
        <v>1</v>
      </c>
      <c r="AZ202" s="46" t="b">
        <f t="shared" si="77"/>
        <v>1</v>
      </c>
      <c r="BA202" s="46" t="b">
        <f t="shared" si="77"/>
        <v>1</v>
      </c>
      <c r="BB202" s="46" t="b">
        <f t="shared" si="77"/>
        <v>1</v>
      </c>
    </row>
    <row r="203" spans="1:54" ht="16.5" x14ac:dyDescent="0.3">
      <c r="A203" s="16"/>
      <c r="B203" s="74"/>
      <c r="C203" s="78"/>
      <c r="D203" s="81"/>
      <c r="E203" s="81"/>
      <c r="F203" s="82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  <c r="S203" s="81"/>
      <c r="T203" s="81"/>
      <c r="U203" s="81"/>
      <c r="V203" s="81"/>
      <c r="W203" s="81"/>
      <c r="X203" s="81"/>
      <c r="Y203" s="81"/>
      <c r="Z203" s="81"/>
      <c r="AA203" s="81"/>
      <c r="AB203" s="81"/>
      <c r="AC203" s="81"/>
      <c r="AD203" s="81"/>
      <c r="AE203" s="81"/>
      <c r="AF203" s="81"/>
      <c r="AG203" s="81"/>
      <c r="AH203" s="81"/>
      <c r="AI203" s="81"/>
      <c r="AJ203" s="81"/>
      <c r="AK203" s="81"/>
      <c r="AL203" s="81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  <c r="BA203" s="81"/>
      <c r="BB203" s="81"/>
    </row>
    <row r="204" spans="1:54" ht="16.5" x14ac:dyDescent="0.3">
      <c r="A204" s="16"/>
      <c r="B204" s="74"/>
      <c r="C204" s="79" t="s">
        <v>162</v>
      </c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  <c r="S204" s="81"/>
      <c r="T204" s="81"/>
      <c r="U204" s="81"/>
      <c r="V204" s="81"/>
      <c r="W204" s="81"/>
      <c r="X204" s="81"/>
      <c r="Y204" s="81"/>
      <c r="Z204" s="81"/>
      <c r="AA204" s="81"/>
      <c r="AB204" s="81"/>
      <c r="AC204" s="81"/>
      <c r="AD204" s="81"/>
      <c r="AE204" s="81"/>
      <c r="AF204" s="81"/>
      <c r="AG204" s="81"/>
      <c r="AH204" s="81"/>
      <c r="AI204" s="81"/>
      <c r="AJ204" s="81"/>
      <c r="AK204" s="81"/>
      <c r="AL204" s="81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  <c r="BA204" s="81"/>
      <c r="BB204" s="81"/>
    </row>
    <row r="205" spans="1:54" ht="16.5" x14ac:dyDescent="0.3">
      <c r="A205" s="16"/>
      <c r="B205" s="74"/>
      <c r="C205" s="80" t="s">
        <v>163</v>
      </c>
      <c r="D205" s="76">
        <f>SUM(D207:D221)</f>
        <v>0</v>
      </c>
      <c r="E205" s="76">
        <f t="shared" ref="E205:BB205" si="78">SUM(E207:E221)</f>
        <v>0</v>
      </c>
      <c r="F205" s="76">
        <f t="shared" si="78"/>
        <v>0</v>
      </c>
      <c r="G205" s="76">
        <f t="shared" si="78"/>
        <v>0</v>
      </c>
      <c r="H205" s="76">
        <f t="shared" si="78"/>
        <v>0</v>
      </c>
      <c r="I205" s="76">
        <f t="shared" si="78"/>
        <v>0</v>
      </c>
      <c r="J205" s="76">
        <f t="shared" si="78"/>
        <v>0</v>
      </c>
      <c r="K205" s="76">
        <f t="shared" si="78"/>
        <v>0</v>
      </c>
      <c r="L205" s="76">
        <f t="shared" si="78"/>
        <v>0</v>
      </c>
      <c r="M205" s="76">
        <f t="shared" si="78"/>
        <v>0</v>
      </c>
      <c r="N205" s="76">
        <f t="shared" si="78"/>
        <v>0</v>
      </c>
      <c r="O205" s="76">
        <f t="shared" si="78"/>
        <v>0</v>
      </c>
      <c r="P205" s="76">
        <f t="shared" si="78"/>
        <v>0</v>
      </c>
      <c r="Q205" s="76">
        <f t="shared" si="78"/>
        <v>0</v>
      </c>
      <c r="R205" s="76">
        <f t="shared" si="78"/>
        <v>0</v>
      </c>
      <c r="S205" s="76">
        <f t="shared" si="78"/>
        <v>0</v>
      </c>
      <c r="T205" s="76">
        <f t="shared" si="78"/>
        <v>0</v>
      </c>
      <c r="U205" s="76">
        <f t="shared" si="78"/>
        <v>0</v>
      </c>
      <c r="V205" s="76">
        <f t="shared" si="78"/>
        <v>0</v>
      </c>
      <c r="W205" s="76">
        <f t="shared" si="78"/>
        <v>0</v>
      </c>
      <c r="X205" s="76">
        <f t="shared" si="78"/>
        <v>0</v>
      </c>
      <c r="Y205" s="76">
        <f t="shared" si="78"/>
        <v>0</v>
      </c>
      <c r="Z205" s="76">
        <f t="shared" si="78"/>
        <v>0</v>
      </c>
      <c r="AA205" s="76">
        <f t="shared" si="78"/>
        <v>0</v>
      </c>
      <c r="AB205" s="76">
        <f t="shared" si="78"/>
        <v>0</v>
      </c>
      <c r="AC205" s="76">
        <f t="shared" si="78"/>
        <v>0</v>
      </c>
      <c r="AD205" s="76">
        <f t="shared" si="78"/>
        <v>0</v>
      </c>
      <c r="AE205" s="76">
        <f t="shared" si="78"/>
        <v>0</v>
      </c>
      <c r="AF205" s="76">
        <f t="shared" si="78"/>
        <v>0</v>
      </c>
      <c r="AG205" s="76">
        <f t="shared" si="78"/>
        <v>0</v>
      </c>
      <c r="AH205" s="76">
        <f t="shared" si="78"/>
        <v>0</v>
      </c>
      <c r="AI205" s="76">
        <f t="shared" si="78"/>
        <v>0</v>
      </c>
      <c r="AJ205" s="76">
        <f t="shared" si="78"/>
        <v>0</v>
      </c>
      <c r="AK205" s="76">
        <f t="shared" si="78"/>
        <v>0</v>
      </c>
      <c r="AL205" s="76">
        <f t="shared" si="78"/>
        <v>0</v>
      </c>
      <c r="AM205" s="76">
        <f t="shared" si="78"/>
        <v>0</v>
      </c>
      <c r="AN205" s="76">
        <f t="shared" si="78"/>
        <v>0</v>
      </c>
      <c r="AO205" s="76">
        <f t="shared" si="78"/>
        <v>0</v>
      </c>
      <c r="AP205" s="76">
        <f t="shared" si="78"/>
        <v>0</v>
      </c>
      <c r="AQ205" s="76">
        <f t="shared" si="78"/>
        <v>0</v>
      </c>
      <c r="AR205" s="76">
        <f t="shared" si="78"/>
        <v>0</v>
      </c>
      <c r="AS205" s="76">
        <f t="shared" si="78"/>
        <v>0</v>
      </c>
      <c r="AT205" s="76">
        <f t="shared" si="78"/>
        <v>0</v>
      </c>
      <c r="AU205" s="76">
        <f t="shared" si="78"/>
        <v>0</v>
      </c>
      <c r="AV205" s="76">
        <f t="shared" si="78"/>
        <v>0</v>
      </c>
      <c r="AW205" s="76">
        <f t="shared" si="78"/>
        <v>0</v>
      </c>
      <c r="AX205" s="76">
        <f t="shared" si="78"/>
        <v>0</v>
      </c>
      <c r="AY205" s="76">
        <f t="shared" si="78"/>
        <v>0</v>
      </c>
      <c r="AZ205" s="76">
        <f t="shared" si="78"/>
        <v>0</v>
      </c>
      <c r="BA205" s="76">
        <f t="shared" si="78"/>
        <v>0</v>
      </c>
      <c r="BB205" s="76">
        <f t="shared" si="78"/>
        <v>0</v>
      </c>
    </row>
    <row r="206" spans="1:54" ht="16.5" x14ac:dyDescent="0.3">
      <c r="A206" s="16"/>
      <c r="B206" s="74"/>
      <c r="C206" s="80" t="s">
        <v>164</v>
      </c>
      <c r="D206" s="46" t="b">
        <f t="shared" ref="D206:AI206" si="79">ABS(adBilanPpb-adBilanPpbCalc)&lt;1</f>
        <v>1</v>
      </c>
      <c r="E206" s="46" t="b">
        <f t="shared" si="79"/>
        <v>1</v>
      </c>
      <c r="F206" s="46" t="b">
        <f t="shared" si="79"/>
        <v>1</v>
      </c>
      <c r="G206" s="46" t="b">
        <f t="shared" si="79"/>
        <v>1</v>
      </c>
      <c r="H206" s="46" t="b">
        <f t="shared" si="79"/>
        <v>1</v>
      </c>
      <c r="I206" s="46" t="b">
        <f t="shared" si="79"/>
        <v>1</v>
      </c>
      <c r="J206" s="46" t="b">
        <f t="shared" si="79"/>
        <v>1</v>
      </c>
      <c r="K206" s="46" t="b">
        <f t="shared" si="79"/>
        <v>1</v>
      </c>
      <c r="L206" s="46" t="b">
        <f t="shared" si="79"/>
        <v>1</v>
      </c>
      <c r="M206" s="46" t="b">
        <f t="shared" si="79"/>
        <v>1</v>
      </c>
      <c r="N206" s="46" t="b">
        <f t="shared" si="79"/>
        <v>1</v>
      </c>
      <c r="O206" s="46" t="b">
        <f t="shared" si="79"/>
        <v>1</v>
      </c>
      <c r="P206" s="46" t="b">
        <f t="shared" si="79"/>
        <v>1</v>
      </c>
      <c r="Q206" s="46" t="b">
        <f t="shared" si="79"/>
        <v>1</v>
      </c>
      <c r="R206" s="46" t="b">
        <f t="shared" si="79"/>
        <v>1</v>
      </c>
      <c r="S206" s="46" t="b">
        <f t="shared" si="79"/>
        <v>1</v>
      </c>
      <c r="T206" s="46" t="b">
        <f t="shared" si="79"/>
        <v>1</v>
      </c>
      <c r="U206" s="46" t="b">
        <f t="shared" si="79"/>
        <v>1</v>
      </c>
      <c r="V206" s="46" t="b">
        <f t="shared" si="79"/>
        <v>1</v>
      </c>
      <c r="W206" s="46" t="b">
        <f t="shared" si="79"/>
        <v>1</v>
      </c>
      <c r="X206" s="46" t="b">
        <f t="shared" si="79"/>
        <v>1</v>
      </c>
      <c r="Y206" s="46" t="b">
        <f t="shared" si="79"/>
        <v>1</v>
      </c>
      <c r="Z206" s="46" t="b">
        <f t="shared" si="79"/>
        <v>1</v>
      </c>
      <c r="AA206" s="46" t="b">
        <f t="shared" si="79"/>
        <v>1</v>
      </c>
      <c r="AB206" s="46" t="b">
        <f t="shared" si="79"/>
        <v>1</v>
      </c>
      <c r="AC206" s="46" t="b">
        <f t="shared" si="79"/>
        <v>1</v>
      </c>
      <c r="AD206" s="46" t="b">
        <f t="shared" si="79"/>
        <v>1</v>
      </c>
      <c r="AE206" s="46" t="b">
        <f t="shared" si="79"/>
        <v>1</v>
      </c>
      <c r="AF206" s="46" t="b">
        <f t="shared" si="79"/>
        <v>1</v>
      </c>
      <c r="AG206" s="46" t="b">
        <f t="shared" si="79"/>
        <v>1</v>
      </c>
      <c r="AH206" s="46" t="b">
        <f t="shared" si="79"/>
        <v>1</v>
      </c>
      <c r="AI206" s="46" t="b">
        <f t="shared" si="79"/>
        <v>1</v>
      </c>
      <c r="AJ206" s="46" t="b">
        <f t="shared" ref="AJ206:BB206" si="80">ABS(adBilanPpb-adBilanPpbCalc)&lt;1</f>
        <v>1</v>
      </c>
      <c r="AK206" s="46" t="b">
        <f t="shared" si="80"/>
        <v>1</v>
      </c>
      <c r="AL206" s="46" t="b">
        <f t="shared" si="80"/>
        <v>1</v>
      </c>
      <c r="AM206" s="46" t="b">
        <f t="shared" si="80"/>
        <v>1</v>
      </c>
      <c r="AN206" s="46" t="b">
        <f t="shared" si="80"/>
        <v>1</v>
      </c>
      <c r="AO206" s="46" t="b">
        <f t="shared" si="80"/>
        <v>1</v>
      </c>
      <c r="AP206" s="46" t="b">
        <f t="shared" si="80"/>
        <v>1</v>
      </c>
      <c r="AQ206" s="46" t="b">
        <f t="shared" si="80"/>
        <v>1</v>
      </c>
      <c r="AR206" s="46" t="b">
        <f t="shared" si="80"/>
        <v>1</v>
      </c>
      <c r="AS206" s="46" t="b">
        <f t="shared" si="80"/>
        <v>1</v>
      </c>
      <c r="AT206" s="46" t="b">
        <f t="shared" si="80"/>
        <v>1</v>
      </c>
      <c r="AU206" s="46" t="b">
        <f t="shared" si="80"/>
        <v>1</v>
      </c>
      <c r="AV206" s="46" t="b">
        <f t="shared" si="80"/>
        <v>1</v>
      </c>
      <c r="AW206" s="46" t="b">
        <f t="shared" si="80"/>
        <v>1</v>
      </c>
      <c r="AX206" s="46" t="b">
        <f t="shared" si="80"/>
        <v>1</v>
      </c>
      <c r="AY206" s="46" t="b">
        <f t="shared" si="80"/>
        <v>1</v>
      </c>
      <c r="AZ206" s="46" t="b">
        <f t="shared" si="80"/>
        <v>1</v>
      </c>
      <c r="BA206" s="46" t="b">
        <f t="shared" si="80"/>
        <v>1</v>
      </c>
      <c r="BB206" s="46" t="b">
        <f t="shared" si="80"/>
        <v>1</v>
      </c>
    </row>
    <row r="207" spans="1:54" ht="16.5" x14ac:dyDescent="0.3">
      <c r="A207" s="16"/>
      <c r="B207" s="74"/>
      <c r="C207" s="77" t="s">
        <v>165</v>
      </c>
      <c r="D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E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F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G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H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I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J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K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L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M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N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O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P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Q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R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S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T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U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V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W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X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Y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Z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A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B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C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D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E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F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G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H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I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J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K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L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M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N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O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P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Q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R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S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T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U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V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W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X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Y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AZ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BA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  <c r="BB207" s="76">
        <f>SUMIFS(PrdAdPpb!$J:$J,PrdAdPpb!$B:$B,adProjChocS2,PrdAdPpb!$C:$C,adProjScenario,PrdAdPpb!$D:$D,adProjIteration,PrdAdPpb!$E:$E,"0.Init",PrdAdPpb!$G:$G,adProjCdCanton,PrdAdPpb!$H:$H,1)+SUMIFS(PrdAdPpb!$J:$J,PrdAdPpb!$B:$B,adProjChocS2,PrdAdPpb!$C:$C,adProjScenario,PrdAdPpb!$D:$D,adProjIteration,PrdAdPpb!$E:$E,"3.AlmCr",PrdAdPpb!$G:$G,adProjCdCanton,PrdAdPpb!$H:$H,1)</f>
        <v>0</v>
      </c>
    </row>
    <row r="208" spans="1:54" ht="16.5" x14ac:dyDescent="0.3">
      <c r="A208" s="16"/>
      <c r="B208" s="74"/>
      <c r="C208" s="77" t="s">
        <v>166</v>
      </c>
      <c r="D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E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F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G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H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I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J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K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L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M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N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O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P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Q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R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S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T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U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V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W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X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Y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Z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A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B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C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D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E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F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G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H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I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J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K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L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M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N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O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P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Q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R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S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T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U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V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W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X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Y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AZ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BA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  <c r="BB208" s="76">
        <f>SUMIFS(PrdAdPpb!$J:$J,PrdAdPpb!$B:$B,adProjChocS2,PrdAdPpb!$C:$C,adProjScenario,PrdAdPpb!$D:$D,adProjIteration,PrdAdPpb!$E:$E,"0.Init",PrdAdPpb!$G:$G,adProjCdCanton,PrdAdPpb!$H:$H,2)+SUMIFS(PrdAdPpb!$J:$J,PrdAdPpb!$B:$B,adProjChocS2,PrdAdPpb!$C:$C,adProjScenario,PrdAdPpb!$D:$D,adProjIteration,PrdAdPpb!$E:$E,"3.AlmCr",PrdAdPpb!$G:$G,adProjCdCanton,PrdAdPpb!$H:$H,2)</f>
        <v>0</v>
      </c>
    </row>
    <row r="209" spans="1:54" ht="16.5" x14ac:dyDescent="0.3">
      <c r="A209" s="16"/>
      <c r="B209" s="74"/>
      <c r="C209" s="77" t="s">
        <v>167</v>
      </c>
      <c r="D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E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F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G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H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I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J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K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L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M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N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O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P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Q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R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S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T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U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V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W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X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Y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Z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A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B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C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D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E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F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G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H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I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J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K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L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M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N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O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P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Q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R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S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T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U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V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W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X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Y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AZ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BA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  <c r="BB209" s="76">
        <f>SUMIFS(PrdAdPpb!$J:$J,PrdAdPpb!$B:$B,adProjChocS2,PrdAdPpb!$C:$C,adProjScenario,PrdAdPpb!$D:$D,adProjIteration,PrdAdPpb!$E:$E,"0.Init",PrdAdPpb!$G:$G,adProjCdCanton,PrdAdPpb!$H:$H,3)+SUMIFS(PrdAdPpb!$J:$J,PrdAdPpb!$B:$B,adProjChocS2,PrdAdPpb!$C:$C,adProjScenario,PrdAdPpb!$D:$D,adProjIteration,PrdAdPpb!$E:$E,"3.AlmCr",PrdAdPpb!$G:$G,adProjCdCanton,PrdAdPpb!$H:$H,3)</f>
        <v>0</v>
      </c>
    </row>
    <row r="210" spans="1:54" ht="16.5" x14ac:dyDescent="0.3">
      <c r="A210" s="16"/>
      <c r="B210" s="74"/>
      <c r="C210" s="77" t="s">
        <v>168</v>
      </c>
      <c r="D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E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F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G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H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I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J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K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L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M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N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O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P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Q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R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S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T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U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V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W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X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Y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Z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A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B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C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D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E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F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G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H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I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J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K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L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M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N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O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P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Q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R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S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T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U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V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W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X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Y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AZ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BA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  <c r="BB210" s="76">
        <f>SUMIFS(PrdAdPpb!$J:$J,PrdAdPpb!$B:$B,adProjChocS2,PrdAdPpb!$C:$C,adProjScenario,PrdAdPpb!$D:$D,adProjIteration,PrdAdPpb!$E:$E,"0.Init",PrdAdPpb!$G:$G,adProjCdCanton,PrdAdPpb!$H:$H,4)+SUMIFS(PrdAdPpb!$J:$J,PrdAdPpb!$B:$B,adProjChocS2,PrdAdPpb!$C:$C,adProjScenario,PrdAdPpb!$D:$D,adProjIteration,PrdAdPpb!$E:$E,"3.AlmCr",PrdAdPpb!$G:$G,adProjCdCanton,PrdAdPpb!$H:$H,4)</f>
        <v>0</v>
      </c>
    </row>
    <row r="211" spans="1:54" ht="16.5" x14ac:dyDescent="0.3">
      <c r="A211" s="16"/>
      <c r="B211" s="74"/>
      <c r="C211" s="77" t="s">
        <v>169</v>
      </c>
      <c r="D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E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F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G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H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I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J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K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L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M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N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O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P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Q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R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S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T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U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V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W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X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Y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Z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A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B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C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D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E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F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G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H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I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J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K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L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M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N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O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P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Q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R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S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T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U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V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W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X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Y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AZ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BA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  <c r="BB211" s="76">
        <f>SUMIFS(PrdAdPpb!$J:$J,PrdAdPpb!$B:$B,adProjChocS2,PrdAdPpb!$C:$C,adProjScenario,PrdAdPpb!$D:$D,adProjIteration,PrdAdPpb!$E:$E,"0.Init",PrdAdPpb!$G:$G,adProjCdCanton,PrdAdPpb!$H:$H,5)+SUMIFS(PrdAdPpb!$J:$J,PrdAdPpb!$B:$B,adProjChocS2,PrdAdPpb!$C:$C,adProjScenario,PrdAdPpb!$D:$D,adProjIteration,PrdAdPpb!$E:$E,"3.AlmCr",PrdAdPpb!$G:$G,adProjCdCanton,PrdAdPpb!$H:$H,5)</f>
        <v>0</v>
      </c>
    </row>
    <row r="212" spans="1:54" ht="16.5" x14ac:dyDescent="0.3">
      <c r="A212" s="16"/>
      <c r="B212" s="74"/>
      <c r="C212" s="77" t="s">
        <v>170</v>
      </c>
      <c r="D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E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F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G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H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I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J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K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L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M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N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O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P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Q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R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S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T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U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V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W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X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Y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Z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A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B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C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D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E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F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G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H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I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J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K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L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M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N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O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P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Q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R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S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T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U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V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W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X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Y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AZ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BA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  <c r="BB212" s="76">
        <f>SUMIFS(PrdAdPpb!$J:$J,PrdAdPpb!$B:$B,adProjChocS2,PrdAdPpb!$C:$C,adProjScenario,PrdAdPpb!$D:$D,adProjIteration,PrdAdPpb!$E:$E,"0.Init",PrdAdPpb!$G:$G,adProjCdCanton,PrdAdPpb!$H:$H,6)+SUMIFS(PrdAdPpb!$J:$J,PrdAdPpb!$B:$B,adProjChocS2,PrdAdPpb!$C:$C,adProjScenario,PrdAdPpb!$D:$D,adProjIteration,PrdAdPpb!$E:$E,"3.AlmCr",PrdAdPpb!$G:$G,adProjCdCanton,PrdAdPpb!$H:$H,6)</f>
        <v>0</v>
      </c>
    </row>
    <row r="213" spans="1:54" ht="16.5" x14ac:dyDescent="0.3">
      <c r="A213" s="16"/>
      <c r="B213" s="74"/>
      <c r="C213" s="77" t="s">
        <v>171</v>
      </c>
      <c r="D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E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F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G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H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I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J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K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L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M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N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O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P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Q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R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S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T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U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V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W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X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Y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Z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A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B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C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D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E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F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G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H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I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J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K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L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M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N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O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P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Q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R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S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T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U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V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W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X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Y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AZ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BA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  <c r="BB213" s="76">
        <f>SUMIFS(PrdAdPpb!$J:$J,PrdAdPpb!$B:$B,adProjChocS2,PrdAdPpb!$C:$C,adProjScenario,PrdAdPpb!$D:$D,adProjIteration,PrdAdPpb!$E:$E,"0.Init",PrdAdPpb!$G:$G,adProjCdCanton,PrdAdPpb!$H:$H,7)+SUMIFS(PrdAdPpb!$J:$J,PrdAdPpb!$B:$B,adProjChocS2,PrdAdPpb!$C:$C,adProjScenario,PrdAdPpb!$D:$D,adProjIteration,PrdAdPpb!$E:$E,"3.AlmCr",PrdAdPpb!$G:$G,adProjCdCanton,PrdAdPpb!$H:$H,7)</f>
        <v>0</v>
      </c>
    </row>
    <row r="214" spans="1:54" ht="16.5" x14ac:dyDescent="0.3">
      <c r="A214" s="16"/>
      <c r="B214" s="74"/>
      <c r="C214" s="77" t="s">
        <v>172</v>
      </c>
      <c r="D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E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F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G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H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I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J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K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L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M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N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O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P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Q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R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S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T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U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V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W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X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Y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Z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A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B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C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D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E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F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G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H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I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J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K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L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M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N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O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P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Q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R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S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T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U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V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W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X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Y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AZ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BA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  <c r="BB214" s="76">
        <f>SUMIFS(PrdAdPpb!$J:$J,PrdAdPpb!$B:$B,adProjChocS2,PrdAdPpb!$C:$C,adProjScenario,PrdAdPpb!$D:$D,adProjIteration,PrdAdPpb!$E:$E,"0.Init",PrdAdPpb!$G:$G,adProjCdCanton,PrdAdPpb!$H:$H,8)+SUMIFS(PrdAdPpb!$J:$J,PrdAdPpb!$B:$B,adProjChocS2,PrdAdPpb!$C:$C,adProjScenario,PrdAdPpb!$D:$D,adProjIteration,PrdAdPpb!$E:$E,"3.AlmCr",PrdAdPpb!$G:$G,adProjCdCanton,PrdAdPpb!$H:$H,8)</f>
        <v>0</v>
      </c>
    </row>
    <row r="215" spans="1:54" ht="16.5" x14ac:dyDescent="0.3">
      <c r="A215" s="16"/>
      <c r="B215" s="74"/>
      <c r="C215" s="77" t="s">
        <v>173</v>
      </c>
      <c r="D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E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F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G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H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I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J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K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L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M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N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O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P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Q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R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S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T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U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V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W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X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Y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Z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A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B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C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D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E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F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G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H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I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J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K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L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M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N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O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P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Q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R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S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T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U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V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W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X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Y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AZ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BA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  <c r="BB215" s="76">
        <f>SUMIFS(PrdAdPpb!$J:$J,PrdAdPpb!$B:$B,adProjChocS2,PrdAdPpb!$C:$C,adProjScenario,PrdAdPpb!$D:$D,adProjIteration,PrdAdPpb!$E:$E,"0.Init",PrdAdPpb!$G:$G,adProjCdCanton,PrdAdPpb!$H:$H,9)+SUMIFS(PrdAdPpb!$J:$J,PrdAdPpb!$B:$B,adProjChocS2,PrdAdPpb!$C:$C,adProjScenario,PrdAdPpb!$D:$D,adProjIteration,PrdAdPpb!$E:$E,"3.AlmCr",PrdAdPpb!$G:$G,adProjCdCanton,PrdAdPpb!$H:$H,9)</f>
        <v>0</v>
      </c>
    </row>
    <row r="216" spans="1:54" ht="16.5" x14ac:dyDescent="0.3">
      <c r="A216" s="16"/>
      <c r="B216" s="74"/>
      <c r="C216" s="77" t="s">
        <v>174</v>
      </c>
      <c r="D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E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F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G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H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I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J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K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L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M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N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O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P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Q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R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S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T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U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V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W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X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Y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Z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A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B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C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D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E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F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G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H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I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J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K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L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M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N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O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P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Q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R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S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T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U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V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W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X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Y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AZ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BA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  <c r="BB216" s="76">
        <f>SUMIFS(PrdAdPpb!$J:$J,PrdAdPpb!$B:$B,adProjChocS2,PrdAdPpb!$C:$C,adProjScenario,PrdAdPpb!$D:$D,adProjIteration,PrdAdPpb!$E:$E,"0.Init",PrdAdPpb!$G:$G,adProjCdCanton,PrdAdPpb!$H:$H,10)+SUMIFS(PrdAdPpb!$J:$J,PrdAdPpb!$B:$B,adProjChocS2,PrdAdPpb!$C:$C,adProjScenario,PrdAdPpb!$D:$D,adProjIteration,PrdAdPpb!$E:$E,"3.AlmCr",PrdAdPpb!$G:$G,adProjCdCanton,PrdAdPpb!$H:$H,10)</f>
        <v>0</v>
      </c>
    </row>
    <row r="217" spans="1:54" ht="16.5" x14ac:dyDescent="0.3">
      <c r="A217" s="16"/>
      <c r="B217" s="74"/>
      <c r="C217" s="77" t="s">
        <v>175</v>
      </c>
      <c r="D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E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F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G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H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I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J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K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L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M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N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O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P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Q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R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S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T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U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V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W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X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Y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Z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A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B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C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D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E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F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G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H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I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J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K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L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M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N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O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P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Q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R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S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T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U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V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W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X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Y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AZ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BA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  <c r="BB217" s="76">
        <f>SUMIFS(PrdAdPpb!$J:$J,PrdAdPpb!$B:$B,adProjChocS2,PrdAdPpb!$C:$C,adProjScenario,PrdAdPpb!$D:$D,adProjIteration,PrdAdPpb!$E:$E,"0.Init",PrdAdPpb!$G:$G,adProjCdCanton,PrdAdPpb!$H:$H,11)+SUMIFS(PrdAdPpb!$J:$J,PrdAdPpb!$B:$B,adProjChocS2,PrdAdPpb!$C:$C,adProjScenario,PrdAdPpb!$D:$D,adProjIteration,PrdAdPpb!$E:$E,"3.AlmCr",PrdAdPpb!$G:$G,adProjCdCanton,PrdAdPpb!$H:$H,11)</f>
        <v>0</v>
      </c>
    </row>
    <row r="218" spans="1:54" ht="16.5" x14ac:dyDescent="0.3">
      <c r="A218" s="16"/>
      <c r="B218" s="74"/>
      <c r="C218" s="77" t="s">
        <v>176</v>
      </c>
      <c r="D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E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F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G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H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I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J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K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L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M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N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O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P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Q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R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S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T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U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V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W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X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Y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Z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A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B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C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D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E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F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G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H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I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J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K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L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M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N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O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P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Q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R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S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T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U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V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W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X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Y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AZ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BA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  <c r="BB218" s="76">
        <f>SUMIFS(PrdAdPpb!$J:$J,PrdAdPpb!$B:$B,adProjChocS2,PrdAdPpb!$C:$C,adProjScenario,PrdAdPpb!$D:$D,adProjIteration,PrdAdPpb!$E:$E,"0.Init",PrdAdPpb!$G:$G,adProjCdCanton,PrdAdPpb!$H:$H,12)+SUMIFS(PrdAdPpb!$J:$J,PrdAdPpb!$B:$B,adProjChocS2,PrdAdPpb!$C:$C,adProjScenario,PrdAdPpb!$D:$D,adProjIteration,PrdAdPpb!$E:$E,"3.AlmCr",PrdAdPpb!$G:$G,adProjCdCanton,PrdAdPpb!$H:$H,12)</f>
        <v>0</v>
      </c>
    </row>
    <row r="219" spans="1:54" ht="16.5" x14ac:dyDescent="0.3">
      <c r="A219" s="16"/>
      <c r="B219" s="74"/>
      <c r="C219" s="77" t="s">
        <v>177</v>
      </c>
      <c r="D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E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F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G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H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I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J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K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L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M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N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O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P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Q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R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S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T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U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V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W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X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Y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Z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A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B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C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D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E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F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G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H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I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J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K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L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M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N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O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P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Q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R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S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T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U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V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W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X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Y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AZ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BA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  <c r="BB219" s="76">
        <f>SUMIFS(PrdAdPpb!$J:$J,PrdAdPpb!$B:$B,adProjChocS2,PrdAdPpb!$C:$C,adProjScenario,PrdAdPpb!$D:$D,adProjIteration,PrdAdPpb!$E:$E,"0.Init",PrdAdPpb!$G:$G,adProjCdCanton,PrdAdPpb!$H:$H,13)+SUMIFS(PrdAdPpb!$J:$J,PrdAdPpb!$B:$B,adProjChocS2,PrdAdPpb!$C:$C,adProjScenario,PrdAdPpb!$D:$D,adProjIteration,PrdAdPpb!$E:$E,"3.AlmCr",PrdAdPpb!$G:$G,adProjCdCanton,PrdAdPpb!$H:$H,13)</f>
        <v>0</v>
      </c>
    </row>
    <row r="220" spans="1:54" ht="16.5" x14ac:dyDescent="0.3">
      <c r="A220" s="16"/>
      <c r="B220" s="74"/>
      <c r="C220" s="77" t="s">
        <v>178</v>
      </c>
      <c r="D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E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F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G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H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I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J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K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L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M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N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O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P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Q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R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S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T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U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V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W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X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Y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Z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A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B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C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D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E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F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G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H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I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J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K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L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M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N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O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P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Q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R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S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T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U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V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W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X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Y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AZ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BA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  <c r="BB220" s="76">
        <f>SUMIFS(PrdAdPpb!$J:$J,PrdAdPpb!$B:$B,adProjChocS2,PrdAdPpb!$C:$C,adProjScenario,PrdAdPpb!$D:$D,adProjIteration,PrdAdPpb!$E:$E,"0.Init",PrdAdPpb!$G:$G,adProjCdCanton,PrdAdPpb!$H:$H,14)+SUMIFS(PrdAdPpb!$J:$J,PrdAdPpb!$B:$B,adProjChocS2,PrdAdPpb!$C:$C,adProjScenario,PrdAdPpb!$D:$D,adProjIteration,PrdAdPpb!$E:$E,"3.AlmCr",PrdAdPpb!$G:$G,adProjCdCanton,PrdAdPpb!$H:$H,14)</f>
        <v>0</v>
      </c>
    </row>
    <row r="221" spans="1:54" ht="16.5" x14ac:dyDescent="0.3">
      <c r="A221" s="16"/>
      <c r="B221" s="74"/>
      <c r="C221" s="77" t="s">
        <v>179</v>
      </c>
      <c r="D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E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F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G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H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I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J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K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L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M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N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O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P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Q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R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S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T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U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V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W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X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Y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Z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A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B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C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D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E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F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G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H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I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J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K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L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M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N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O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P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Q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R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S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T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U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V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W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X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Y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AZ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BA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  <c r="BB221" s="76">
        <f>SUMIFS(PrdAdPpb!$J:$J,PrdAdPpb!$B:$B,adProjChocS2,PrdAdPpb!$C:$C,adProjScenario,PrdAdPpb!$D:$D,adProjIteration,PrdAdPpb!$E:$E,"0.Init",PrdAdPpb!$G:$G,adProjCdCanton,PrdAdPpb!$H:$H,15)+SUMIFS(PrdAdPpb!$J:$J,PrdAdPpb!$B:$B,adProjChocS2,PrdAdPpb!$C:$C,adProjScenario,PrdAdPpb!$D:$D,adProjIteration,PrdAdPpb!$E:$E,"3.AlmCr",PrdAdPpb!$G:$G,adProjCdCanton,PrdAdPpb!$H:$H,15)</f>
        <v>0</v>
      </c>
    </row>
    <row r="222" spans="1:54" ht="16.5" x14ac:dyDescent="0.3">
      <c r="A222" s="16"/>
      <c r="B222" s="74"/>
      <c r="C222" s="83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  <c r="BA222" s="81"/>
      <c r="BB222" s="81"/>
    </row>
    <row r="223" spans="1:54" x14ac:dyDescent="0.25"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</row>
    <row r="224" spans="1:54" ht="16.5" x14ac:dyDescent="0.3">
      <c r="A224" s="16"/>
      <c r="B224" s="84" t="s">
        <v>180</v>
      </c>
      <c r="C224" s="85"/>
      <c r="D224" s="86">
        <v>0</v>
      </c>
      <c r="E224" s="86">
        <v>1</v>
      </c>
      <c r="F224" s="86">
        <v>2</v>
      </c>
      <c r="G224" s="86">
        <v>3</v>
      </c>
      <c r="H224" s="86">
        <v>4</v>
      </c>
      <c r="I224" s="86">
        <v>5</v>
      </c>
      <c r="J224" s="86">
        <v>6</v>
      </c>
      <c r="K224" s="86">
        <v>7</v>
      </c>
      <c r="L224" s="86">
        <v>8</v>
      </c>
      <c r="M224" s="86">
        <v>9</v>
      </c>
      <c r="N224" s="86">
        <v>10</v>
      </c>
      <c r="O224" s="86">
        <v>11</v>
      </c>
      <c r="P224" s="86">
        <v>12</v>
      </c>
      <c r="Q224" s="86">
        <v>13</v>
      </c>
      <c r="R224" s="86">
        <v>14</v>
      </c>
      <c r="S224" s="86">
        <v>15</v>
      </c>
      <c r="T224" s="86">
        <v>16</v>
      </c>
      <c r="U224" s="86">
        <v>17</v>
      </c>
      <c r="V224" s="86">
        <v>18</v>
      </c>
      <c r="W224" s="86">
        <v>19</v>
      </c>
      <c r="X224" s="86">
        <v>20</v>
      </c>
      <c r="Y224" s="86">
        <v>21</v>
      </c>
      <c r="Z224" s="86">
        <v>22</v>
      </c>
      <c r="AA224" s="86">
        <v>23</v>
      </c>
      <c r="AB224" s="86">
        <v>24</v>
      </c>
      <c r="AC224" s="86">
        <v>25</v>
      </c>
      <c r="AD224" s="86">
        <v>26</v>
      </c>
      <c r="AE224" s="86">
        <v>27</v>
      </c>
      <c r="AF224" s="86">
        <v>28</v>
      </c>
      <c r="AG224" s="86">
        <v>29</v>
      </c>
      <c r="AH224" s="86">
        <v>30</v>
      </c>
      <c r="AI224" s="86">
        <v>31</v>
      </c>
      <c r="AJ224" s="86">
        <v>32</v>
      </c>
      <c r="AK224" s="86">
        <v>33</v>
      </c>
      <c r="AL224" s="86">
        <v>34</v>
      </c>
      <c r="AM224" s="86">
        <v>35</v>
      </c>
      <c r="AN224" s="86">
        <v>36</v>
      </c>
      <c r="AO224" s="86">
        <v>37</v>
      </c>
      <c r="AP224" s="86">
        <v>38</v>
      </c>
      <c r="AQ224" s="86">
        <v>39</v>
      </c>
      <c r="AR224" s="86">
        <v>40</v>
      </c>
      <c r="AS224" s="86">
        <v>41</v>
      </c>
      <c r="AT224" s="86">
        <v>42</v>
      </c>
      <c r="AU224" s="86">
        <v>43</v>
      </c>
      <c r="AV224" s="86">
        <v>44</v>
      </c>
      <c r="AW224" s="86">
        <v>45</v>
      </c>
      <c r="AX224" s="86">
        <v>46</v>
      </c>
      <c r="AY224" s="86">
        <v>47</v>
      </c>
      <c r="AZ224" s="86">
        <v>48</v>
      </c>
      <c r="BA224" s="86">
        <v>49</v>
      </c>
      <c r="BB224" s="87">
        <v>50</v>
      </c>
    </row>
    <row r="225" spans="1:54" ht="16.5" x14ac:dyDescent="0.3">
      <c r="A225" s="16"/>
      <c r="B225" s="85"/>
      <c r="C225" s="88" t="s">
        <v>181</v>
      </c>
      <c r="D225" s="89"/>
      <c r="E225" s="89"/>
      <c r="F225" s="89"/>
      <c r="G225" s="89"/>
      <c r="H225" s="89"/>
      <c r="I225" s="89"/>
      <c r="J225" s="89"/>
      <c r="K225" s="89"/>
      <c r="L225" s="89"/>
      <c r="M225" s="89"/>
      <c r="N225" s="89"/>
      <c r="O225" s="89"/>
      <c r="P225" s="89"/>
      <c r="Q225" s="89"/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  <c r="AE225" s="89"/>
      <c r="AF225" s="89"/>
      <c r="AG225" s="89"/>
      <c r="AH225" s="89"/>
      <c r="AI225" s="89"/>
      <c r="AJ225" s="89"/>
      <c r="AK225" s="89"/>
      <c r="AL225" s="89"/>
      <c r="AM225" s="89"/>
      <c r="AN225" s="89"/>
      <c r="AO225" s="89"/>
      <c r="AP225" s="89"/>
      <c r="AQ225" s="89"/>
      <c r="AR225" s="89"/>
      <c r="AS225" s="89"/>
      <c r="AT225" s="89"/>
      <c r="AU225" s="89"/>
      <c r="AV225" s="89"/>
      <c r="AW225" s="89"/>
      <c r="AX225" s="89"/>
      <c r="AY225" s="89"/>
      <c r="AZ225" s="89"/>
      <c r="BA225" s="89"/>
      <c r="BB225" s="89"/>
    </row>
    <row r="226" spans="1:54" ht="16.5" x14ac:dyDescent="0.3">
      <c r="A226" s="16"/>
      <c r="B226" s="85"/>
      <c r="C226" s="90" t="s">
        <v>182</v>
      </c>
      <c r="D226" s="91"/>
      <c r="E226" s="91">
        <f>SUMIFS(#REF!,#REF!,adProjChocS2,#REF!,adProjScenario,#REF!,adProjIteration,#REF!,adProjCdCanton)</f>
        <v>0</v>
      </c>
      <c r="F226" s="91">
        <f>SUMIFS(#REF!,#REF!,adProjChocS2,#REF!,adProjScenario,#REF!,adProjIteration,#REF!,adProjCdCanton)</f>
        <v>0</v>
      </c>
      <c r="G226" s="91">
        <f>SUMIFS(#REF!,#REF!,adProjChocS2,#REF!,adProjScenario,#REF!,adProjIteration,#REF!,adProjCdCanton)</f>
        <v>0</v>
      </c>
      <c r="H226" s="91">
        <f>SUMIFS(#REF!,#REF!,adProjChocS2,#REF!,adProjScenario,#REF!,adProjIteration,#REF!,adProjCdCanton)</f>
        <v>0</v>
      </c>
      <c r="I226" s="91">
        <f>SUMIFS(#REF!,#REF!,adProjChocS2,#REF!,adProjScenario,#REF!,adProjIteration,#REF!,adProjCdCanton)</f>
        <v>0</v>
      </c>
      <c r="J226" s="91">
        <f>SUMIFS(#REF!,#REF!,adProjChocS2,#REF!,adProjScenario,#REF!,adProjIteration,#REF!,adProjCdCanton)</f>
        <v>0</v>
      </c>
      <c r="K226" s="91">
        <f>SUMIFS(#REF!,#REF!,adProjChocS2,#REF!,adProjScenario,#REF!,adProjIteration,#REF!,adProjCdCanton)</f>
        <v>0</v>
      </c>
      <c r="L226" s="91">
        <f>SUMIFS(#REF!,#REF!,adProjChocS2,#REF!,adProjScenario,#REF!,adProjIteration,#REF!,adProjCdCanton)</f>
        <v>0</v>
      </c>
      <c r="M226" s="91">
        <f>SUMIFS(#REF!,#REF!,adProjChocS2,#REF!,adProjScenario,#REF!,adProjIteration,#REF!,adProjCdCanton)</f>
        <v>0</v>
      </c>
      <c r="N226" s="91">
        <f>SUMIFS(#REF!,#REF!,adProjChocS2,#REF!,adProjScenario,#REF!,adProjIteration,#REF!,adProjCdCanton)</f>
        <v>0</v>
      </c>
      <c r="O226" s="91">
        <f>SUMIFS(#REF!,#REF!,adProjChocS2,#REF!,adProjScenario,#REF!,adProjIteration,#REF!,adProjCdCanton)</f>
        <v>0</v>
      </c>
      <c r="P226" s="91">
        <f>SUMIFS(#REF!,#REF!,adProjChocS2,#REF!,adProjScenario,#REF!,adProjIteration,#REF!,adProjCdCanton)</f>
        <v>0</v>
      </c>
      <c r="Q226" s="91">
        <f>SUMIFS(#REF!,#REF!,adProjChocS2,#REF!,adProjScenario,#REF!,adProjIteration,#REF!,adProjCdCanton)</f>
        <v>0</v>
      </c>
      <c r="R226" s="91">
        <f>SUMIFS(#REF!,#REF!,adProjChocS2,#REF!,adProjScenario,#REF!,adProjIteration,#REF!,adProjCdCanton)</f>
        <v>0</v>
      </c>
      <c r="S226" s="91">
        <f>SUMIFS(#REF!,#REF!,adProjChocS2,#REF!,adProjScenario,#REF!,adProjIteration,#REF!,adProjCdCanton)</f>
        <v>0</v>
      </c>
      <c r="T226" s="91">
        <f>SUMIFS(#REF!,#REF!,adProjChocS2,#REF!,adProjScenario,#REF!,adProjIteration,#REF!,adProjCdCanton)</f>
        <v>0</v>
      </c>
      <c r="U226" s="91">
        <f>SUMIFS(#REF!,#REF!,adProjChocS2,#REF!,adProjScenario,#REF!,adProjIteration,#REF!,adProjCdCanton)</f>
        <v>0</v>
      </c>
      <c r="V226" s="91">
        <f>SUMIFS(#REF!,#REF!,adProjChocS2,#REF!,adProjScenario,#REF!,adProjIteration,#REF!,adProjCdCanton)</f>
        <v>0</v>
      </c>
      <c r="W226" s="91">
        <f>SUMIFS(#REF!,#REF!,adProjChocS2,#REF!,adProjScenario,#REF!,adProjIteration,#REF!,adProjCdCanton)</f>
        <v>0</v>
      </c>
      <c r="X226" s="91">
        <f>SUMIFS(#REF!,#REF!,adProjChocS2,#REF!,adProjScenario,#REF!,adProjIteration,#REF!,adProjCdCanton)</f>
        <v>0</v>
      </c>
      <c r="Y226" s="91">
        <f>SUMIFS(#REF!,#REF!,adProjChocS2,#REF!,adProjScenario,#REF!,adProjIteration,#REF!,adProjCdCanton)</f>
        <v>0</v>
      </c>
      <c r="Z226" s="91">
        <f>SUMIFS(#REF!,#REF!,adProjChocS2,#REF!,adProjScenario,#REF!,adProjIteration,#REF!,adProjCdCanton)</f>
        <v>0</v>
      </c>
      <c r="AA226" s="91">
        <f>SUMIFS(#REF!,#REF!,adProjChocS2,#REF!,adProjScenario,#REF!,adProjIteration,#REF!,adProjCdCanton)</f>
        <v>0</v>
      </c>
      <c r="AB226" s="91">
        <f>SUMIFS(#REF!,#REF!,adProjChocS2,#REF!,adProjScenario,#REF!,adProjIteration,#REF!,adProjCdCanton)</f>
        <v>0</v>
      </c>
      <c r="AC226" s="91">
        <f>SUMIFS(#REF!,#REF!,adProjChocS2,#REF!,adProjScenario,#REF!,adProjIteration,#REF!,adProjCdCanton)</f>
        <v>0</v>
      </c>
      <c r="AD226" s="91">
        <f>SUMIFS(#REF!,#REF!,adProjChocS2,#REF!,adProjScenario,#REF!,adProjIteration,#REF!,adProjCdCanton)</f>
        <v>0</v>
      </c>
      <c r="AE226" s="91">
        <f>SUMIFS(#REF!,#REF!,adProjChocS2,#REF!,adProjScenario,#REF!,adProjIteration,#REF!,adProjCdCanton)</f>
        <v>0</v>
      </c>
      <c r="AF226" s="91">
        <f>SUMIFS(#REF!,#REF!,adProjChocS2,#REF!,adProjScenario,#REF!,adProjIteration,#REF!,adProjCdCanton)</f>
        <v>0</v>
      </c>
      <c r="AG226" s="91">
        <f>SUMIFS(#REF!,#REF!,adProjChocS2,#REF!,adProjScenario,#REF!,adProjIteration,#REF!,adProjCdCanton)</f>
        <v>0</v>
      </c>
      <c r="AH226" s="91">
        <f>SUMIFS(#REF!,#REF!,adProjChocS2,#REF!,adProjScenario,#REF!,adProjIteration,#REF!,adProjCdCanton)</f>
        <v>0</v>
      </c>
      <c r="AI226" s="91">
        <f>SUMIFS(#REF!,#REF!,adProjChocS2,#REF!,adProjScenario,#REF!,adProjIteration,#REF!,adProjCdCanton)</f>
        <v>0</v>
      </c>
      <c r="AJ226" s="91">
        <f>SUMIFS(#REF!,#REF!,adProjChocS2,#REF!,adProjScenario,#REF!,adProjIteration,#REF!,adProjCdCanton)</f>
        <v>0</v>
      </c>
      <c r="AK226" s="91">
        <f>SUMIFS(#REF!,#REF!,adProjChocS2,#REF!,adProjScenario,#REF!,adProjIteration,#REF!,adProjCdCanton)</f>
        <v>0</v>
      </c>
      <c r="AL226" s="91">
        <f>SUMIFS(#REF!,#REF!,adProjChocS2,#REF!,adProjScenario,#REF!,adProjIteration,#REF!,adProjCdCanton)</f>
        <v>0</v>
      </c>
      <c r="AM226" s="91">
        <f>SUMIFS(#REF!,#REF!,adProjChocS2,#REF!,adProjScenario,#REF!,adProjIteration,#REF!,adProjCdCanton)</f>
        <v>0</v>
      </c>
      <c r="AN226" s="91">
        <f>SUMIFS(#REF!,#REF!,adProjChocS2,#REF!,adProjScenario,#REF!,adProjIteration,#REF!,adProjCdCanton)</f>
        <v>0</v>
      </c>
      <c r="AO226" s="91">
        <f>SUMIFS(#REF!,#REF!,adProjChocS2,#REF!,adProjScenario,#REF!,adProjIteration,#REF!,adProjCdCanton)</f>
        <v>0</v>
      </c>
      <c r="AP226" s="91">
        <f>SUMIFS(#REF!,#REF!,adProjChocS2,#REF!,adProjScenario,#REF!,adProjIteration,#REF!,adProjCdCanton)</f>
        <v>0</v>
      </c>
      <c r="AQ226" s="91">
        <f>SUMIFS(#REF!,#REF!,adProjChocS2,#REF!,adProjScenario,#REF!,adProjIteration,#REF!,adProjCdCanton)</f>
        <v>0</v>
      </c>
      <c r="AR226" s="91">
        <f>SUMIFS(#REF!,#REF!,adProjChocS2,#REF!,adProjScenario,#REF!,adProjIteration,#REF!,adProjCdCanton)</f>
        <v>0</v>
      </c>
      <c r="AS226" s="91">
        <f>SUMIFS(#REF!,#REF!,adProjChocS2,#REF!,adProjScenario,#REF!,adProjIteration,#REF!,adProjCdCanton)</f>
        <v>0</v>
      </c>
      <c r="AT226" s="91">
        <f>SUMIFS(#REF!,#REF!,adProjChocS2,#REF!,adProjScenario,#REF!,adProjIteration,#REF!,adProjCdCanton)</f>
        <v>0</v>
      </c>
      <c r="AU226" s="91">
        <f>SUMIFS(#REF!,#REF!,adProjChocS2,#REF!,adProjScenario,#REF!,adProjIteration,#REF!,adProjCdCanton)</f>
        <v>0</v>
      </c>
      <c r="AV226" s="91">
        <f>SUMIFS(#REF!,#REF!,adProjChocS2,#REF!,adProjScenario,#REF!,adProjIteration,#REF!,adProjCdCanton)</f>
        <v>0</v>
      </c>
      <c r="AW226" s="91">
        <f>SUMIFS(#REF!,#REF!,adProjChocS2,#REF!,adProjScenario,#REF!,adProjIteration,#REF!,adProjCdCanton)</f>
        <v>0</v>
      </c>
      <c r="AX226" s="91">
        <f>SUMIFS(#REF!,#REF!,adProjChocS2,#REF!,adProjScenario,#REF!,adProjIteration,#REF!,adProjCdCanton)</f>
        <v>0</v>
      </c>
      <c r="AY226" s="91">
        <f>SUMIFS(#REF!,#REF!,adProjChocS2,#REF!,adProjScenario,#REF!,adProjIteration,#REF!,adProjCdCanton)</f>
        <v>0</v>
      </c>
      <c r="AZ226" s="91">
        <f>SUMIFS(#REF!,#REF!,adProjChocS2,#REF!,adProjScenario,#REF!,adProjIteration,#REF!,adProjCdCanton)</f>
        <v>0</v>
      </c>
      <c r="BA226" s="91">
        <f>SUMIFS(#REF!,#REF!,adProjChocS2,#REF!,adProjScenario,#REF!,adProjIteration,#REF!,adProjCdCanton)</f>
        <v>0</v>
      </c>
      <c r="BB226" s="91">
        <f>SUMIFS(#REF!,#REF!,adProjChocS2,#REF!,adProjScenario,#REF!,adProjIteration,#REF!,adProjCdCanton)</f>
        <v>0</v>
      </c>
    </row>
    <row r="227" spans="1:54" ht="16.5" x14ac:dyDescent="0.3">
      <c r="A227" s="16"/>
      <c r="B227" s="85"/>
      <c r="C227" s="90" t="s">
        <v>183</v>
      </c>
      <c r="D227" s="91"/>
      <c r="E227" s="91">
        <f>SUMIFS(#REF!,#REF!,adProjChocS2,#REF!,adProjScenario,#REF!,adProjIteration,#REF!,adProjCdCanton)</f>
        <v>0</v>
      </c>
      <c r="F227" s="91">
        <f>SUMIFS(#REF!,#REF!,adProjChocS2,#REF!,adProjScenario,#REF!,adProjIteration,#REF!,adProjCdCanton)</f>
        <v>0</v>
      </c>
      <c r="G227" s="91">
        <f>SUMIFS(#REF!,#REF!,adProjChocS2,#REF!,adProjScenario,#REF!,adProjIteration,#REF!,adProjCdCanton)</f>
        <v>0</v>
      </c>
      <c r="H227" s="91">
        <f>SUMIFS(#REF!,#REF!,adProjChocS2,#REF!,adProjScenario,#REF!,adProjIteration,#REF!,adProjCdCanton)</f>
        <v>0</v>
      </c>
      <c r="I227" s="91">
        <f>SUMIFS(#REF!,#REF!,adProjChocS2,#REF!,adProjScenario,#REF!,adProjIteration,#REF!,adProjCdCanton)</f>
        <v>0</v>
      </c>
      <c r="J227" s="91">
        <f>SUMIFS(#REF!,#REF!,adProjChocS2,#REF!,adProjScenario,#REF!,adProjIteration,#REF!,adProjCdCanton)</f>
        <v>0</v>
      </c>
      <c r="K227" s="91">
        <f>SUMIFS(#REF!,#REF!,adProjChocS2,#REF!,adProjScenario,#REF!,adProjIteration,#REF!,adProjCdCanton)</f>
        <v>0</v>
      </c>
      <c r="L227" s="91">
        <f>SUMIFS(#REF!,#REF!,adProjChocS2,#REF!,adProjScenario,#REF!,adProjIteration,#REF!,adProjCdCanton)</f>
        <v>0</v>
      </c>
      <c r="M227" s="91">
        <f>SUMIFS(#REF!,#REF!,adProjChocS2,#REF!,adProjScenario,#REF!,adProjIteration,#REF!,adProjCdCanton)</f>
        <v>0</v>
      </c>
      <c r="N227" s="91">
        <f>SUMIFS(#REF!,#REF!,adProjChocS2,#REF!,adProjScenario,#REF!,adProjIteration,#REF!,adProjCdCanton)</f>
        <v>0</v>
      </c>
      <c r="O227" s="91">
        <f>SUMIFS(#REF!,#REF!,adProjChocS2,#REF!,adProjScenario,#REF!,adProjIteration,#REF!,adProjCdCanton)</f>
        <v>0</v>
      </c>
      <c r="P227" s="91">
        <f>SUMIFS(#REF!,#REF!,adProjChocS2,#REF!,adProjScenario,#REF!,adProjIteration,#REF!,adProjCdCanton)</f>
        <v>0</v>
      </c>
      <c r="Q227" s="91">
        <f>SUMIFS(#REF!,#REF!,adProjChocS2,#REF!,adProjScenario,#REF!,adProjIteration,#REF!,adProjCdCanton)</f>
        <v>0</v>
      </c>
      <c r="R227" s="91">
        <f>SUMIFS(#REF!,#REF!,adProjChocS2,#REF!,adProjScenario,#REF!,adProjIteration,#REF!,adProjCdCanton)</f>
        <v>0</v>
      </c>
      <c r="S227" s="91">
        <f>SUMIFS(#REF!,#REF!,adProjChocS2,#REF!,adProjScenario,#REF!,adProjIteration,#REF!,adProjCdCanton)</f>
        <v>0</v>
      </c>
      <c r="T227" s="91">
        <f>SUMIFS(#REF!,#REF!,adProjChocS2,#REF!,adProjScenario,#REF!,adProjIteration,#REF!,adProjCdCanton)</f>
        <v>0</v>
      </c>
      <c r="U227" s="91">
        <f>SUMIFS(#REF!,#REF!,adProjChocS2,#REF!,adProjScenario,#REF!,adProjIteration,#REF!,adProjCdCanton)</f>
        <v>0</v>
      </c>
      <c r="V227" s="91">
        <f>SUMIFS(#REF!,#REF!,adProjChocS2,#REF!,adProjScenario,#REF!,adProjIteration,#REF!,adProjCdCanton)</f>
        <v>0</v>
      </c>
      <c r="W227" s="91">
        <f>SUMIFS(#REF!,#REF!,adProjChocS2,#REF!,adProjScenario,#REF!,adProjIteration,#REF!,adProjCdCanton)</f>
        <v>0</v>
      </c>
      <c r="X227" s="91">
        <f>SUMIFS(#REF!,#REF!,adProjChocS2,#REF!,adProjScenario,#REF!,adProjIteration,#REF!,adProjCdCanton)</f>
        <v>0</v>
      </c>
      <c r="Y227" s="91">
        <f>SUMIFS(#REF!,#REF!,adProjChocS2,#REF!,adProjScenario,#REF!,adProjIteration,#REF!,adProjCdCanton)</f>
        <v>0</v>
      </c>
      <c r="Z227" s="91">
        <f>SUMIFS(#REF!,#REF!,adProjChocS2,#REF!,adProjScenario,#REF!,adProjIteration,#REF!,adProjCdCanton)</f>
        <v>0</v>
      </c>
      <c r="AA227" s="91">
        <f>SUMIFS(#REF!,#REF!,adProjChocS2,#REF!,adProjScenario,#REF!,adProjIteration,#REF!,adProjCdCanton)</f>
        <v>0</v>
      </c>
      <c r="AB227" s="91">
        <f>SUMIFS(#REF!,#REF!,adProjChocS2,#REF!,adProjScenario,#REF!,adProjIteration,#REF!,adProjCdCanton)</f>
        <v>0</v>
      </c>
      <c r="AC227" s="91">
        <f>SUMIFS(#REF!,#REF!,adProjChocS2,#REF!,adProjScenario,#REF!,adProjIteration,#REF!,adProjCdCanton)</f>
        <v>0</v>
      </c>
      <c r="AD227" s="91">
        <f>SUMIFS(#REF!,#REF!,adProjChocS2,#REF!,adProjScenario,#REF!,adProjIteration,#REF!,adProjCdCanton)</f>
        <v>0</v>
      </c>
      <c r="AE227" s="91">
        <f>SUMIFS(#REF!,#REF!,adProjChocS2,#REF!,adProjScenario,#REF!,adProjIteration,#REF!,adProjCdCanton)</f>
        <v>0</v>
      </c>
      <c r="AF227" s="91">
        <f>SUMIFS(#REF!,#REF!,adProjChocS2,#REF!,adProjScenario,#REF!,adProjIteration,#REF!,adProjCdCanton)</f>
        <v>0</v>
      </c>
      <c r="AG227" s="91">
        <f>SUMIFS(#REF!,#REF!,adProjChocS2,#REF!,adProjScenario,#REF!,adProjIteration,#REF!,adProjCdCanton)</f>
        <v>0</v>
      </c>
      <c r="AH227" s="91">
        <f>SUMIFS(#REF!,#REF!,adProjChocS2,#REF!,adProjScenario,#REF!,adProjIteration,#REF!,adProjCdCanton)</f>
        <v>0</v>
      </c>
      <c r="AI227" s="91">
        <f>SUMIFS(#REF!,#REF!,adProjChocS2,#REF!,adProjScenario,#REF!,adProjIteration,#REF!,adProjCdCanton)</f>
        <v>0</v>
      </c>
      <c r="AJ227" s="91">
        <f>SUMIFS(#REF!,#REF!,adProjChocS2,#REF!,adProjScenario,#REF!,adProjIteration,#REF!,adProjCdCanton)</f>
        <v>0</v>
      </c>
      <c r="AK227" s="91">
        <f>SUMIFS(#REF!,#REF!,adProjChocS2,#REF!,adProjScenario,#REF!,adProjIteration,#REF!,adProjCdCanton)</f>
        <v>0</v>
      </c>
      <c r="AL227" s="91">
        <f>SUMIFS(#REF!,#REF!,adProjChocS2,#REF!,adProjScenario,#REF!,adProjIteration,#REF!,adProjCdCanton)</f>
        <v>0</v>
      </c>
      <c r="AM227" s="91">
        <f>SUMIFS(#REF!,#REF!,adProjChocS2,#REF!,adProjScenario,#REF!,adProjIteration,#REF!,adProjCdCanton)</f>
        <v>0</v>
      </c>
      <c r="AN227" s="91">
        <f>SUMIFS(#REF!,#REF!,adProjChocS2,#REF!,adProjScenario,#REF!,adProjIteration,#REF!,adProjCdCanton)</f>
        <v>0</v>
      </c>
      <c r="AO227" s="91">
        <f>SUMIFS(#REF!,#REF!,adProjChocS2,#REF!,adProjScenario,#REF!,adProjIteration,#REF!,adProjCdCanton)</f>
        <v>0</v>
      </c>
      <c r="AP227" s="91">
        <f>SUMIFS(#REF!,#REF!,adProjChocS2,#REF!,adProjScenario,#REF!,adProjIteration,#REF!,adProjCdCanton)</f>
        <v>0</v>
      </c>
      <c r="AQ227" s="91">
        <f>SUMIFS(#REF!,#REF!,adProjChocS2,#REF!,adProjScenario,#REF!,adProjIteration,#REF!,adProjCdCanton)</f>
        <v>0</v>
      </c>
      <c r="AR227" s="91">
        <f>SUMIFS(#REF!,#REF!,adProjChocS2,#REF!,adProjScenario,#REF!,adProjIteration,#REF!,adProjCdCanton)</f>
        <v>0</v>
      </c>
      <c r="AS227" s="91">
        <f>SUMIFS(#REF!,#REF!,adProjChocS2,#REF!,adProjScenario,#REF!,adProjIteration,#REF!,adProjCdCanton)</f>
        <v>0</v>
      </c>
      <c r="AT227" s="91">
        <f>SUMIFS(#REF!,#REF!,adProjChocS2,#REF!,adProjScenario,#REF!,adProjIteration,#REF!,adProjCdCanton)</f>
        <v>0</v>
      </c>
      <c r="AU227" s="91">
        <f>SUMIFS(#REF!,#REF!,adProjChocS2,#REF!,adProjScenario,#REF!,adProjIteration,#REF!,adProjCdCanton)</f>
        <v>0</v>
      </c>
      <c r="AV227" s="91">
        <f>SUMIFS(#REF!,#REF!,adProjChocS2,#REF!,adProjScenario,#REF!,adProjIteration,#REF!,adProjCdCanton)</f>
        <v>0</v>
      </c>
      <c r="AW227" s="91">
        <f>SUMIFS(#REF!,#REF!,adProjChocS2,#REF!,adProjScenario,#REF!,adProjIteration,#REF!,adProjCdCanton)</f>
        <v>0</v>
      </c>
      <c r="AX227" s="91">
        <f>SUMIFS(#REF!,#REF!,adProjChocS2,#REF!,adProjScenario,#REF!,adProjIteration,#REF!,adProjCdCanton)</f>
        <v>0</v>
      </c>
      <c r="AY227" s="91">
        <f>SUMIFS(#REF!,#REF!,adProjChocS2,#REF!,adProjScenario,#REF!,adProjIteration,#REF!,adProjCdCanton)</f>
        <v>0</v>
      </c>
      <c r="AZ227" s="91">
        <f>SUMIFS(#REF!,#REF!,adProjChocS2,#REF!,adProjScenario,#REF!,adProjIteration,#REF!,adProjCdCanton)</f>
        <v>0</v>
      </c>
      <c r="BA227" s="91">
        <f>SUMIFS(#REF!,#REF!,adProjChocS2,#REF!,adProjScenario,#REF!,adProjIteration,#REF!,adProjCdCanton)</f>
        <v>0</v>
      </c>
      <c r="BB227" s="91">
        <f>SUMIFS(#REF!,#REF!,adProjChocS2,#REF!,adProjScenario,#REF!,adProjIteration,#REF!,adProjCdCanton)</f>
        <v>0</v>
      </c>
    </row>
    <row r="228" spans="1:54" ht="16.5" x14ac:dyDescent="0.3">
      <c r="A228" s="16"/>
      <c r="B228" s="85"/>
      <c r="C228" s="90" t="s">
        <v>184</v>
      </c>
      <c r="D228" s="91"/>
      <c r="E228" s="91">
        <f>SUMIFS(#REF!,#REF!,adProjChocS2,#REF!,adProjScenario,#REF!,adProjIteration,#REF!,adProjCdCanton)</f>
        <v>0</v>
      </c>
      <c r="F228" s="91">
        <f>SUMIFS(#REF!,#REF!,adProjChocS2,#REF!,adProjScenario,#REF!,adProjIteration,#REF!,adProjCdCanton)</f>
        <v>0</v>
      </c>
      <c r="G228" s="91">
        <f>SUMIFS(#REF!,#REF!,adProjChocS2,#REF!,adProjScenario,#REF!,adProjIteration,#REF!,adProjCdCanton)</f>
        <v>0</v>
      </c>
      <c r="H228" s="91">
        <f>SUMIFS(#REF!,#REF!,adProjChocS2,#REF!,adProjScenario,#REF!,adProjIteration,#REF!,adProjCdCanton)</f>
        <v>0</v>
      </c>
      <c r="I228" s="91">
        <f>SUMIFS(#REF!,#REF!,adProjChocS2,#REF!,adProjScenario,#REF!,adProjIteration,#REF!,adProjCdCanton)</f>
        <v>0</v>
      </c>
      <c r="J228" s="91">
        <f>SUMIFS(#REF!,#REF!,adProjChocS2,#REF!,adProjScenario,#REF!,adProjIteration,#REF!,adProjCdCanton)</f>
        <v>0</v>
      </c>
      <c r="K228" s="91">
        <f>SUMIFS(#REF!,#REF!,adProjChocS2,#REF!,adProjScenario,#REF!,adProjIteration,#REF!,adProjCdCanton)</f>
        <v>0</v>
      </c>
      <c r="L228" s="91">
        <f>SUMIFS(#REF!,#REF!,adProjChocS2,#REF!,adProjScenario,#REF!,adProjIteration,#REF!,adProjCdCanton)</f>
        <v>0</v>
      </c>
      <c r="M228" s="91">
        <f>SUMIFS(#REF!,#REF!,adProjChocS2,#REF!,adProjScenario,#REF!,adProjIteration,#REF!,adProjCdCanton)</f>
        <v>0</v>
      </c>
      <c r="N228" s="91">
        <f>SUMIFS(#REF!,#REF!,adProjChocS2,#REF!,adProjScenario,#REF!,adProjIteration,#REF!,adProjCdCanton)</f>
        <v>0</v>
      </c>
      <c r="O228" s="91">
        <f>SUMIFS(#REF!,#REF!,adProjChocS2,#REF!,adProjScenario,#REF!,adProjIteration,#REF!,adProjCdCanton)</f>
        <v>0</v>
      </c>
      <c r="P228" s="91">
        <f>SUMIFS(#REF!,#REF!,adProjChocS2,#REF!,adProjScenario,#REF!,adProjIteration,#REF!,adProjCdCanton)</f>
        <v>0</v>
      </c>
      <c r="Q228" s="91">
        <f>SUMIFS(#REF!,#REF!,adProjChocS2,#REF!,adProjScenario,#REF!,adProjIteration,#REF!,adProjCdCanton)</f>
        <v>0</v>
      </c>
      <c r="R228" s="91">
        <f>SUMIFS(#REF!,#REF!,adProjChocS2,#REF!,adProjScenario,#REF!,adProjIteration,#REF!,adProjCdCanton)</f>
        <v>0</v>
      </c>
      <c r="S228" s="91">
        <f>SUMIFS(#REF!,#REF!,adProjChocS2,#REF!,adProjScenario,#REF!,adProjIteration,#REF!,adProjCdCanton)</f>
        <v>0</v>
      </c>
      <c r="T228" s="91">
        <f>SUMIFS(#REF!,#REF!,adProjChocS2,#REF!,adProjScenario,#REF!,adProjIteration,#REF!,adProjCdCanton)</f>
        <v>0</v>
      </c>
      <c r="U228" s="91">
        <f>SUMIFS(#REF!,#REF!,adProjChocS2,#REF!,adProjScenario,#REF!,adProjIteration,#REF!,adProjCdCanton)</f>
        <v>0</v>
      </c>
      <c r="V228" s="91">
        <f>SUMIFS(#REF!,#REF!,adProjChocS2,#REF!,adProjScenario,#REF!,adProjIteration,#REF!,adProjCdCanton)</f>
        <v>0</v>
      </c>
      <c r="W228" s="91">
        <f>SUMIFS(#REF!,#REF!,adProjChocS2,#REF!,adProjScenario,#REF!,adProjIteration,#REF!,adProjCdCanton)</f>
        <v>0</v>
      </c>
      <c r="X228" s="91">
        <f>SUMIFS(#REF!,#REF!,adProjChocS2,#REF!,adProjScenario,#REF!,adProjIteration,#REF!,adProjCdCanton)</f>
        <v>0</v>
      </c>
      <c r="Y228" s="91">
        <f>SUMIFS(#REF!,#REF!,adProjChocS2,#REF!,adProjScenario,#REF!,adProjIteration,#REF!,adProjCdCanton)</f>
        <v>0</v>
      </c>
      <c r="Z228" s="91">
        <f>SUMIFS(#REF!,#REF!,adProjChocS2,#REF!,adProjScenario,#REF!,adProjIteration,#REF!,adProjCdCanton)</f>
        <v>0</v>
      </c>
      <c r="AA228" s="91">
        <f>SUMIFS(#REF!,#REF!,adProjChocS2,#REF!,adProjScenario,#REF!,adProjIteration,#REF!,adProjCdCanton)</f>
        <v>0</v>
      </c>
      <c r="AB228" s="91">
        <f>SUMIFS(#REF!,#REF!,adProjChocS2,#REF!,adProjScenario,#REF!,adProjIteration,#REF!,adProjCdCanton)</f>
        <v>0</v>
      </c>
      <c r="AC228" s="91">
        <f>SUMIFS(#REF!,#REF!,adProjChocS2,#REF!,adProjScenario,#REF!,adProjIteration,#REF!,adProjCdCanton)</f>
        <v>0</v>
      </c>
      <c r="AD228" s="91">
        <f>SUMIFS(#REF!,#REF!,adProjChocS2,#REF!,adProjScenario,#REF!,adProjIteration,#REF!,adProjCdCanton)</f>
        <v>0</v>
      </c>
      <c r="AE228" s="91">
        <f>SUMIFS(#REF!,#REF!,adProjChocS2,#REF!,adProjScenario,#REF!,adProjIteration,#REF!,adProjCdCanton)</f>
        <v>0</v>
      </c>
      <c r="AF228" s="91">
        <f>SUMIFS(#REF!,#REF!,adProjChocS2,#REF!,adProjScenario,#REF!,adProjIteration,#REF!,adProjCdCanton)</f>
        <v>0</v>
      </c>
      <c r="AG228" s="91">
        <f>SUMIFS(#REF!,#REF!,adProjChocS2,#REF!,adProjScenario,#REF!,adProjIteration,#REF!,adProjCdCanton)</f>
        <v>0</v>
      </c>
      <c r="AH228" s="91">
        <f>SUMIFS(#REF!,#REF!,adProjChocS2,#REF!,adProjScenario,#REF!,adProjIteration,#REF!,adProjCdCanton)</f>
        <v>0</v>
      </c>
      <c r="AI228" s="91">
        <f>SUMIFS(#REF!,#REF!,adProjChocS2,#REF!,adProjScenario,#REF!,adProjIteration,#REF!,adProjCdCanton)</f>
        <v>0</v>
      </c>
      <c r="AJ228" s="91">
        <f>SUMIFS(#REF!,#REF!,adProjChocS2,#REF!,adProjScenario,#REF!,adProjIteration,#REF!,adProjCdCanton)</f>
        <v>0</v>
      </c>
      <c r="AK228" s="91">
        <f>SUMIFS(#REF!,#REF!,adProjChocS2,#REF!,adProjScenario,#REF!,adProjIteration,#REF!,adProjCdCanton)</f>
        <v>0</v>
      </c>
      <c r="AL228" s="91">
        <f>SUMIFS(#REF!,#REF!,adProjChocS2,#REF!,adProjScenario,#REF!,adProjIteration,#REF!,adProjCdCanton)</f>
        <v>0</v>
      </c>
      <c r="AM228" s="91">
        <f>SUMIFS(#REF!,#REF!,adProjChocS2,#REF!,adProjScenario,#REF!,adProjIteration,#REF!,adProjCdCanton)</f>
        <v>0</v>
      </c>
      <c r="AN228" s="91">
        <f>SUMIFS(#REF!,#REF!,adProjChocS2,#REF!,adProjScenario,#REF!,adProjIteration,#REF!,adProjCdCanton)</f>
        <v>0</v>
      </c>
      <c r="AO228" s="91">
        <f>SUMIFS(#REF!,#REF!,adProjChocS2,#REF!,adProjScenario,#REF!,adProjIteration,#REF!,adProjCdCanton)</f>
        <v>0</v>
      </c>
      <c r="AP228" s="91">
        <f>SUMIFS(#REF!,#REF!,adProjChocS2,#REF!,adProjScenario,#REF!,adProjIteration,#REF!,adProjCdCanton)</f>
        <v>0</v>
      </c>
      <c r="AQ228" s="91">
        <f>SUMIFS(#REF!,#REF!,adProjChocS2,#REF!,adProjScenario,#REF!,adProjIteration,#REF!,adProjCdCanton)</f>
        <v>0</v>
      </c>
      <c r="AR228" s="91">
        <f>SUMIFS(#REF!,#REF!,adProjChocS2,#REF!,adProjScenario,#REF!,adProjIteration,#REF!,adProjCdCanton)</f>
        <v>0</v>
      </c>
      <c r="AS228" s="91">
        <f>SUMIFS(#REF!,#REF!,adProjChocS2,#REF!,adProjScenario,#REF!,adProjIteration,#REF!,adProjCdCanton)</f>
        <v>0</v>
      </c>
      <c r="AT228" s="91">
        <f>SUMIFS(#REF!,#REF!,adProjChocS2,#REF!,adProjScenario,#REF!,adProjIteration,#REF!,adProjCdCanton)</f>
        <v>0</v>
      </c>
      <c r="AU228" s="91">
        <f>SUMIFS(#REF!,#REF!,adProjChocS2,#REF!,adProjScenario,#REF!,adProjIteration,#REF!,adProjCdCanton)</f>
        <v>0</v>
      </c>
      <c r="AV228" s="91">
        <f>SUMIFS(#REF!,#REF!,adProjChocS2,#REF!,adProjScenario,#REF!,adProjIteration,#REF!,adProjCdCanton)</f>
        <v>0</v>
      </c>
      <c r="AW228" s="91">
        <f>SUMIFS(#REF!,#REF!,adProjChocS2,#REF!,adProjScenario,#REF!,adProjIteration,#REF!,adProjCdCanton)</f>
        <v>0</v>
      </c>
      <c r="AX228" s="91">
        <f>SUMIFS(#REF!,#REF!,adProjChocS2,#REF!,adProjScenario,#REF!,adProjIteration,#REF!,adProjCdCanton)</f>
        <v>0</v>
      </c>
      <c r="AY228" s="91">
        <f>SUMIFS(#REF!,#REF!,adProjChocS2,#REF!,adProjScenario,#REF!,adProjIteration,#REF!,adProjCdCanton)</f>
        <v>0</v>
      </c>
      <c r="AZ228" s="91">
        <f>SUMIFS(#REF!,#REF!,adProjChocS2,#REF!,adProjScenario,#REF!,adProjIteration,#REF!,adProjCdCanton)</f>
        <v>0</v>
      </c>
      <c r="BA228" s="91">
        <f>SUMIFS(#REF!,#REF!,adProjChocS2,#REF!,adProjScenario,#REF!,adProjIteration,#REF!,adProjCdCanton)</f>
        <v>0</v>
      </c>
      <c r="BB228" s="91">
        <f>SUMIFS(#REF!,#REF!,adProjChocS2,#REF!,adProjScenario,#REF!,adProjIteration,#REF!,adProjCdCanton)</f>
        <v>0</v>
      </c>
    </row>
    <row r="229" spans="1:54" ht="16.5" x14ac:dyDescent="0.3">
      <c r="A229" s="16"/>
      <c r="B229" s="85"/>
      <c r="C229" s="90" t="s">
        <v>185</v>
      </c>
      <c r="D229" s="91"/>
      <c r="E229" s="91">
        <f>SUMIFS(#REF!,#REF!,adProjChocS2,#REF!,adProjScenario,#REF!,adProjIteration,#REF!,adProjCdCanton)</f>
        <v>0</v>
      </c>
      <c r="F229" s="91">
        <f>SUMIFS(#REF!,#REF!,adProjChocS2,#REF!,adProjScenario,#REF!,adProjIteration,#REF!,adProjCdCanton)</f>
        <v>0</v>
      </c>
      <c r="G229" s="91">
        <f>SUMIFS(#REF!,#REF!,adProjChocS2,#REF!,adProjScenario,#REF!,adProjIteration,#REF!,adProjCdCanton)</f>
        <v>0</v>
      </c>
      <c r="H229" s="91">
        <f>SUMIFS(#REF!,#REF!,adProjChocS2,#REF!,adProjScenario,#REF!,adProjIteration,#REF!,adProjCdCanton)</f>
        <v>0</v>
      </c>
      <c r="I229" s="91">
        <f>SUMIFS(#REF!,#REF!,adProjChocS2,#REF!,adProjScenario,#REF!,adProjIteration,#REF!,adProjCdCanton)</f>
        <v>0</v>
      </c>
      <c r="J229" s="91">
        <f>SUMIFS(#REF!,#REF!,adProjChocS2,#REF!,adProjScenario,#REF!,adProjIteration,#REF!,adProjCdCanton)</f>
        <v>0</v>
      </c>
      <c r="K229" s="91">
        <f>SUMIFS(#REF!,#REF!,adProjChocS2,#REF!,adProjScenario,#REF!,adProjIteration,#REF!,adProjCdCanton)</f>
        <v>0</v>
      </c>
      <c r="L229" s="91">
        <f>SUMIFS(#REF!,#REF!,adProjChocS2,#REF!,adProjScenario,#REF!,adProjIteration,#REF!,adProjCdCanton)</f>
        <v>0</v>
      </c>
      <c r="M229" s="91">
        <f>SUMIFS(#REF!,#REF!,adProjChocS2,#REF!,adProjScenario,#REF!,adProjIteration,#REF!,adProjCdCanton)</f>
        <v>0</v>
      </c>
      <c r="N229" s="91">
        <f>SUMIFS(#REF!,#REF!,adProjChocS2,#REF!,adProjScenario,#REF!,adProjIteration,#REF!,adProjCdCanton)</f>
        <v>0</v>
      </c>
      <c r="O229" s="91">
        <f>SUMIFS(#REF!,#REF!,adProjChocS2,#REF!,adProjScenario,#REF!,adProjIteration,#REF!,adProjCdCanton)</f>
        <v>0</v>
      </c>
      <c r="P229" s="91">
        <f>SUMIFS(#REF!,#REF!,adProjChocS2,#REF!,adProjScenario,#REF!,adProjIteration,#REF!,adProjCdCanton)</f>
        <v>0</v>
      </c>
      <c r="Q229" s="91">
        <f>SUMIFS(#REF!,#REF!,adProjChocS2,#REF!,adProjScenario,#REF!,adProjIteration,#REF!,adProjCdCanton)</f>
        <v>0</v>
      </c>
      <c r="R229" s="91">
        <f>SUMIFS(#REF!,#REF!,adProjChocS2,#REF!,adProjScenario,#REF!,adProjIteration,#REF!,adProjCdCanton)</f>
        <v>0</v>
      </c>
      <c r="S229" s="91">
        <f>SUMIFS(#REF!,#REF!,adProjChocS2,#REF!,adProjScenario,#REF!,adProjIteration,#REF!,adProjCdCanton)</f>
        <v>0</v>
      </c>
      <c r="T229" s="91">
        <f>SUMIFS(#REF!,#REF!,adProjChocS2,#REF!,adProjScenario,#REF!,adProjIteration,#REF!,adProjCdCanton)</f>
        <v>0</v>
      </c>
      <c r="U229" s="91">
        <f>SUMIFS(#REF!,#REF!,adProjChocS2,#REF!,adProjScenario,#REF!,adProjIteration,#REF!,adProjCdCanton)</f>
        <v>0</v>
      </c>
      <c r="V229" s="91">
        <f>SUMIFS(#REF!,#REF!,adProjChocS2,#REF!,adProjScenario,#REF!,adProjIteration,#REF!,adProjCdCanton)</f>
        <v>0</v>
      </c>
      <c r="W229" s="91">
        <f>SUMIFS(#REF!,#REF!,adProjChocS2,#REF!,adProjScenario,#REF!,adProjIteration,#REF!,adProjCdCanton)</f>
        <v>0</v>
      </c>
      <c r="X229" s="91">
        <f>SUMIFS(#REF!,#REF!,adProjChocS2,#REF!,adProjScenario,#REF!,adProjIteration,#REF!,adProjCdCanton)</f>
        <v>0</v>
      </c>
      <c r="Y229" s="91">
        <f>SUMIFS(#REF!,#REF!,adProjChocS2,#REF!,adProjScenario,#REF!,adProjIteration,#REF!,adProjCdCanton)</f>
        <v>0</v>
      </c>
      <c r="Z229" s="91">
        <f>SUMIFS(#REF!,#REF!,adProjChocS2,#REF!,adProjScenario,#REF!,adProjIteration,#REF!,adProjCdCanton)</f>
        <v>0</v>
      </c>
      <c r="AA229" s="91">
        <f>SUMIFS(#REF!,#REF!,adProjChocS2,#REF!,adProjScenario,#REF!,adProjIteration,#REF!,adProjCdCanton)</f>
        <v>0</v>
      </c>
      <c r="AB229" s="91">
        <f>SUMIFS(#REF!,#REF!,adProjChocS2,#REF!,adProjScenario,#REF!,adProjIteration,#REF!,adProjCdCanton)</f>
        <v>0</v>
      </c>
      <c r="AC229" s="91">
        <f>SUMIFS(#REF!,#REF!,adProjChocS2,#REF!,adProjScenario,#REF!,adProjIteration,#REF!,adProjCdCanton)</f>
        <v>0</v>
      </c>
      <c r="AD229" s="91">
        <f>SUMIFS(#REF!,#REF!,adProjChocS2,#REF!,adProjScenario,#REF!,adProjIteration,#REF!,adProjCdCanton)</f>
        <v>0</v>
      </c>
      <c r="AE229" s="91">
        <f>SUMIFS(#REF!,#REF!,adProjChocS2,#REF!,adProjScenario,#REF!,adProjIteration,#REF!,adProjCdCanton)</f>
        <v>0</v>
      </c>
      <c r="AF229" s="91">
        <f>SUMIFS(#REF!,#REF!,adProjChocS2,#REF!,adProjScenario,#REF!,adProjIteration,#REF!,adProjCdCanton)</f>
        <v>0</v>
      </c>
      <c r="AG229" s="91">
        <f>SUMIFS(#REF!,#REF!,adProjChocS2,#REF!,adProjScenario,#REF!,adProjIteration,#REF!,adProjCdCanton)</f>
        <v>0</v>
      </c>
      <c r="AH229" s="91">
        <f>SUMIFS(#REF!,#REF!,adProjChocS2,#REF!,adProjScenario,#REF!,adProjIteration,#REF!,adProjCdCanton)</f>
        <v>0</v>
      </c>
      <c r="AI229" s="91">
        <f>SUMIFS(#REF!,#REF!,adProjChocS2,#REF!,adProjScenario,#REF!,adProjIteration,#REF!,adProjCdCanton)</f>
        <v>0</v>
      </c>
      <c r="AJ229" s="91">
        <f>SUMIFS(#REF!,#REF!,adProjChocS2,#REF!,adProjScenario,#REF!,adProjIteration,#REF!,adProjCdCanton)</f>
        <v>0</v>
      </c>
      <c r="AK229" s="91">
        <f>SUMIFS(#REF!,#REF!,adProjChocS2,#REF!,adProjScenario,#REF!,adProjIteration,#REF!,adProjCdCanton)</f>
        <v>0</v>
      </c>
      <c r="AL229" s="91">
        <f>SUMIFS(#REF!,#REF!,adProjChocS2,#REF!,adProjScenario,#REF!,adProjIteration,#REF!,adProjCdCanton)</f>
        <v>0</v>
      </c>
      <c r="AM229" s="91">
        <f>SUMIFS(#REF!,#REF!,adProjChocS2,#REF!,adProjScenario,#REF!,adProjIteration,#REF!,adProjCdCanton)</f>
        <v>0</v>
      </c>
      <c r="AN229" s="91">
        <f>SUMIFS(#REF!,#REF!,adProjChocS2,#REF!,adProjScenario,#REF!,adProjIteration,#REF!,adProjCdCanton)</f>
        <v>0</v>
      </c>
      <c r="AO229" s="91">
        <f>SUMIFS(#REF!,#REF!,adProjChocS2,#REF!,adProjScenario,#REF!,adProjIteration,#REF!,adProjCdCanton)</f>
        <v>0</v>
      </c>
      <c r="AP229" s="91">
        <f>SUMIFS(#REF!,#REF!,adProjChocS2,#REF!,adProjScenario,#REF!,adProjIteration,#REF!,adProjCdCanton)</f>
        <v>0</v>
      </c>
      <c r="AQ229" s="91">
        <f>SUMIFS(#REF!,#REF!,adProjChocS2,#REF!,adProjScenario,#REF!,adProjIteration,#REF!,adProjCdCanton)</f>
        <v>0</v>
      </c>
      <c r="AR229" s="91">
        <f>SUMIFS(#REF!,#REF!,adProjChocS2,#REF!,adProjScenario,#REF!,adProjIteration,#REF!,adProjCdCanton)</f>
        <v>0</v>
      </c>
      <c r="AS229" s="91">
        <f>SUMIFS(#REF!,#REF!,adProjChocS2,#REF!,adProjScenario,#REF!,adProjIteration,#REF!,adProjCdCanton)</f>
        <v>0</v>
      </c>
      <c r="AT229" s="91">
        <f>SUMIFS(#REF!,#REF!,adProjChocS2,#REF!,adProjScenario,#REF!,adProjIteration,#REF!,adProjCdCanton)</f>
        <v>0</v>
      </c>
      <c r="AU229" s="91">
        <f>SUMIFS(#REF!,#REF!,adProjChocS2,#REF!,adProjScenario,#REF!,adProjIteration,#REF!,adProjCdCanton)</f>
        <v>0</v>
      </c>
      <c r="AV229" s="91">
        <f>SUMIFS(#REF!,#REF!,adProjChocS2,#REF!,adProjScenario,#REF!,adProjIteration,#REF!,adProjCdCanton)</f>
        <v>0</v>
      </c>
      <c r="AW229" s="91">
        <f>SUMIFS(#REF!,#REF!,adProjChocS2,#REF!,adProjScenario,#REF!,adProjIteration,#REF!,adProjCdCanton)</f>
        <v>0</v>
      </c>
      <c r="AX229" s="91">
        <f>SUMIFS(#REF!,#REF!,adProjChocS2,#REF!,adProjScenario,#REF!,adProjIteration,#REF!,adProjCdCanton)</f>
        <v>0</v>
      </c>
      <c r="AY229" s="91">
        <f>SUMIFS(#REF!,#REF!,adProjChocS2,#REF!,adProjScenario,#REF!,adProjIteration,#REF!,adProjCdCanton)</f>
        <v>0</v>
      </c>
      <c r="AZ229" s="91">
        <f>SUMIFS(#REF!,#REF!,adProjChocS2,#REF!,adProjScenario,#REF!,adProjIteration,#REF!,adProjCdCanton)</f>
        <v>0</v>
      </c>
      <c r="BA229" s="91">
        <f>SUMIFS(#REF!,#REF!,adProjChocS2,#REF!,adProjScenario,#REF!,adProjIteration,#REF!,adProjCdCanton)</f>
        <v>0</v>
      </c>
      <c r="BB229" s="91">
        <f>SUMIFS(#REF!,#REF!,adProjChocS2,#REF!,adProjScenario,#REF!,adProjIteration,#REF!,adProjCdCanton)</f>
        <v>0</v>
      </c>
    </row>
    <row r="230" spans="1:54" ht="16.5" x14ac:dyDescent="0.3">
      <c r="A230" s="16"/>
      <c r="B230" s="85"/>
      <c r="C230" s="92" t="s">
        <v>186</v>
      </c>
      <c r="D230" s="93"/>
      <c r="E230" s="93" t="e">
        <f>IF(adPmPerf=0,0,E226/adPmPerf)/adFacteurInflation</f>
        <v>#REF!</v>
      </c>
      <c r="F230" s="93" t="e" cm="1">
        <f t="array" ref="F230">IF(adPmPerf=0,0,F226/adPmPerf)/adFacteurInflation</f>
        <v>#REF!</v>
      </c>
      <c r="G230" s="93" t="e" cm="1">
        <f t="array" ref="G230">IF(adPmPerf=0,0,G226/adPmPerf)/adFacteurInflation</f>
        <v>#REF!</v>
      </c>
      <c r="H230" s="93" t="e" cm="1">
        <f t="array" ref="H230">IF(adPmPerf=0,0,H226/adPmPerf)/adFacteurInflation</f>
        <v>#REF!</v>
      </c>
      <c r="I230" s="93" t="e" cm="1">
        <f t="array" ref="I230">IF(adPmPerf=0,0,I226/adPmPerf)/adFacteurInflation</f>
        <v>#REF!</v>
      </c>
      <c r="J230" s="93" t="e" cm="1">
        <f t="array" ref="J230">IF(adPmPerf=0,0,J226/adPmPerf)/adFacteurInflation</f>
        <v>#REF!</v>
      </c>
      <c r="K230" s="93" t="e" cm="1">
        <f t="array" ref="K230">IF(adPmPerf=0,0,K226/adPmPerf)/adFacteurInflation</f>
        <v>#REF!</v>
      </c>
      <c r="L230" s="93" t="e" cm="1">
        <f t="array" ref="L230">IF(adPmPerf=0,0,L226/adPmPerf)/adFacteurInflation</f>
        <v>#REF!</v>
      </c>
      <c r="M230" s="93" t="e" cm="1">
        <f t="array" ref="M230">IF(adPmPerf=0,0,M226/adPmPerf)/adFacteurInflation</f>
        <v>#REF!</v>
      </c>
      <c r="N230" s="93" t="e" cm="1">
        <f t="array" ref="N230">IF(adPmPerf=0,0,N226/adPmPerf)/adFacteurInflation</f>
        <v>#REF!</v>
      </c>
      <c r="O230" s="93" t="e" cm="1">
        <f t="array" ref="O230">IF(adPmPerf=0,0,O226/adPmPerf)/adFacteurInflation</f>
        <v>#REF!</v>
      </c>
      <c r="P230" s="93" t="e" cm="1">
        <f t="array" ref="P230">IF(adPmPerf=0,0,P226/adPmPerf)/adFacteurInflation</f>
        <v>#REF!</v>
      </c>
      <c r="Q230" s="93" t="e" cm="1">
        <f t="array" ref="Q230">IF(adPmPerf=0,0,Q226/adPmPerf)/adFacteurInflation</f>
        <v>#REF!</v>
      </c>
      <c r="R230" s="93" t="e" cm="1">
        <f t="array" ref="R230">IF(adPmPerf=0,0,R226/adPmPerf)/adFacteurInflation</f>
        <v>#REF!</v>
      </c>
      <c r="S230" s="93" t="e" cm="1">
        <f t="array" ref="S230">IF(adPmPerf=0,0,S226/adPmPerf)/adFacteurInflation</f>
        <v>#REF!</v>
      </c>
      <c r="T230" s="93" t="e" cm="1">
        <f t="array" ref="T230">IF(adPmPerf=0,0,T226/adPmPerf)/adFacteurInflation</f>
        <v>#REF!</v>
      </c>
      <c r="U230" s="93" t="e" cm="1">
        <f t="array" ref="U230">IF(adPmPerf=0,0,U226/adPmPerf)/adFacteurInflation</f>
        <v>#REF!</v>
      </c>
      <c r="V230" s="93" t="e" cm="1">
        <f t="array" ref="V230">IF(adPmPerf=0,0,V226/adPmPerf)/adFacteurInflation</f>
        <v>#REF!</v>
      </c>
      <c r="W230" s="93" t="e" cm="1">
        <f t="array" ref="W230">IF(adPmPerf=0,0,W226/adPmPerf)/adFacteurInflation</f>
        <v>#REF!</v>
      </c>
      <c r="X230" s="93" t="e" cm="1">
        <f t="array" ref="X230">IF(adPmPerf=0,0,X226/adPmPerf)/adFacteurInflation</f>
        <v>#REF!</v>
      </c>
      <c r="Y230" s="93" t="e" cm="1">
        <f t="array" ref="Y230">IF(adPmPerf=0,0,Y226/adPmPerf)/adFacteurInflation</f>
        <v>#REF!</v>
      </c>
      <c r="Z230" s="93" t="e" cm="1">
        <f t="array" ref="Z230">IF(adPmPerf=0,0,Z226/adPmPerf)/adFacteurInflation</f>
        <v>#REF!</v>
      </c>
      <c r="AA230" s="93" t="e" cm="1">
        <f t="array" ref="AA230">IF(adPmPerf=0,0,AA226/adPmPerf)/adFacteurInflation</f>
        <v>#REF!</v>
      </c>
      <c r="AB230" s="93" t="e" cm="1">
        <f t="array" ref="AB230">IF(adPmPerf=0,0,AB226/adPmPerf)/adFacteurInflation</f>
        <v>#REF!</v>
      </c>
      <c r="AC230" s="93" t="e" cm="1">
        <f t="array" ref="AC230">IF(adPmPerf=0,0,AC226/adPmPerf)/adFacteurInflation</f>
        <v>#REF!</v>
      </c>
      <c r="AD230" s="93" t="e" cm="1">
        <f t="array" ref="AD230">IF(adPmPerf=0,0,AD226/adPmPerf)/adFacteurInflation</f>
        <v>#REF!</v>
      </c>
      <c r="AE230" s="93" t="e" cm="1">
        <f t="array" ref="AE230">IF(adPmPerf=0,0,AE226/adPmPerf)/adFacteurInflation</f>
        <v>#REF!</v>
      </c>
      <c r="AF230" s="93" t="e" cm="1">
        <f t="array" ref="AF230">IF(adPmPerf=0,0,AF226/adPmPerf)/adFacteurInflation</f>
        <v>#REF!</v>
      </c>
      <c r="AG230" s="93" t="e" cm="1">
        <f t="array" ref="AG230">IF(adPmPerf=0,0,AG226/adPmPerf)/adFacteurInflation</f>
        <v>#REF!</v>
      </c>
      <c r="AH230" s="93" t="e" cm="1">
        <f t="array" ref="AH230">IF(adPmPerf=0,0,AH226/adPmPerf)/adFacteurInflation</f>
        <v>#REF!</v>
      </c>
      <c r="AI230" s="93" t="e" cm="1">
        <f t="array" ref="AI230">IF(adPmPerf=0,0,AI226/adPmPerf)/adFacteurInflation</f>
        <v>#REF!</v>
      </c>
      <c r="AJ230" s="93" t="e" cm="1">
        <f t="array" ref="AJ230">IF(adPmPerf=0,0,AJ226/adPmPerf)/adFacteurInflation</f>
        <v>#REF!</v>
      </c>
      <c r="AK230" s="93" t="e" cm="1">
        <f t="array" ref="AK230">IF(adPmPerf=0,0,AK226/adPmPerf)/adFacteurInflation</f>
        <v>#REF!</v>
      </c>
      <c r="AL230" s="93" t="e" cm="1">
        <f t="array" ref="AL230">IF(adPmPerf=0,0,AL226/adPmPerf)/adFacteurInflation</f>
        <v>#REF!</v>
      </c>
      <c r="AM230" s="93" t="e" cm="1">
        <f t="array" ref="AM230">IF(adPmPerf=0,0,AM226/adPmPerf)/adFacteurInflation</f>
        <v>#REF!</v>
      </c>
      <c r="AN230" s="93" t="e" cm="1">
        <f t="array" ref="AN230">IF(adPmPerf=0,0,AN226/adPmPerf)/adFacteurInflation</f>
        <v>#REF!</v>
      </c>
      <c r="AO230" s="93" t="e" cm="1">
        <f t="array" ref="AO230">IF(adPmPerf=0,0,AO226/adPmPerf)/adFacteurInflation</f>
        <v>#REF!</v>
      </c>
      <c r="AP230" s="93" t="e" cm="1">
        <f t="array" ref="AP230">IF(adPmPerf=0,0,AP226/adPmPerf)/adFacteurInflation</f>
        <v>#REF!</v>
      </c>
      <c r="AQ230" s="93" t="e" cm="1">
        <f t="array" ref="AQ230">IF(adPmPerf=0,0,AQ226/adPmPerf)/adFacteurInflation</f>
        <v>#REF!</v>
      </c>
      <c r="AR230" s="93" t="e" cm="1">
        <f t="array" ref="AR230">IF(adPmPerf=0,0,AR226/adPmPerf)/adFacteurInflation</f>
        <v>#REF!</v>
      </c>
      <c r="AS230" s="93" t="e" cm="1">
        <f t="array" ref="AS230">IF(adPmPerf=0,0,AS226/adPmPerf)/adFacteurInflation</f>
        <v>#REF!</v>
      </c>
      <c r="AT230" s="93" t="e" cm="1">
        <f t="array" ref="AT230">IF(adPmPerf=0,0,AT226/adPmPerf)/adFacteurInflation</f>
        <v>#REF!</v>
      </c>
      <c r="AU230" s="93" t="e" cm="1">
        <f t="array" ref="AU230">IF(adPmPerf=0,0,AU226/adPmPerf)/adFacteurInflation</f>
        <v>#REF!</v>
      </c>
      <c r="AV230" s="93" t="e" cm="1">
        <f t="array" ref="AV230">IF(adPmPerf=0,0,AV226/adPmPerf)/adFacteurInflation</f>
        <v>#REF!</v>
      </c>
      <c r="AW230" s="93" t="e" cm="1">
        <f t="array" ref="AW230">IF(adPmPerf=0,0,AW226/adPmPerf)/adFacteurInflation</f>
        <v>#REF!</v>
      </c>
      <c r="AX230" s="93" t="e" cm="1">
        <f t="array" ref="AX230">IF(adPmPerf=0,0,AX226/adPmPerf)/adFacteurInflation</f>
        <v>#REF!</v>
      </c>
      <c r="AY230" s="93" t="e" cm="1">
        <f t="array" ref="AY230">IF(adPmPerf=0,0,AY226/adPmPerf)/adFacteurInflation</f>
        <v>#REF!</v>
      </c>
      <c r="AZ230" s="93" t="e" cm="1">
        <f t="array" ref="AZ230">IF(adPmPerf=0,0,AZ226/adPmPerf)/adFacteurInflation</f>
        <v>#REF!</v>
      </c>
      <c r="BA230" s="93" t="e" cm="1">
        <f t="array" ref="BA230">IF(adPmPerf=0,0,BA226/adPmPerf)/adFacteurInflation</f>
        <v>#REF!</v>
      </c>
      <c r="BB230" s="93" t="e" cm="1">
        <f t="array" ref="BB230">IF(adPmPerf=0,0,BB226/adPmPerf)/adFacteurInflation</f>
        <v>#REF!</v>
      </c>
    </row>
    <row r="231" spans="1:54" ht="16.5" x14ac:dyDescent="0.3">
      <c r="A231" s="16"/>
      <c r="B231" s="85"/>
      <c r="C231" s="92" t="s">
        <v>187</v>
      </c>
      <c r="D231" s="93"/>
      <c r="E231" s="93" t="e">
        <f>IF(adPrstTotNet=0,0,E227/adPrstTotNet)/adFacteurInflation</f>
        <v>#REF!</v>
      </c>
      <c r="F231" s="93" t="e">
        <f t="shared" ref="F231:BB231" si="81">IF(adPrstTotNet=0,0,F227/adPrstTotNet)/adDeflDebut</f>
        <v>#REF!</v>
      </c>
      <c r="G231" s="93" t="e">
        <f t="shared" si="81"/>
        <v>#REF!</v>
      </c>
      <c r="H231" s="93" t="e">
        <f t="shared" si="81"/>
        <v>#REF!</v>
      </c>
      <c r="I231" s="93" t="e">
        <f t="shared" si="81"/>
        <v>#REF!</v>
      </c>
      <c r="J231" s="93" t="e">
        <f t="shared" si="81"/>
        <v>#REF!</v>
      </c>
      <c r="K231" s="93" t="e">
        <f t="shared" si="81"/>
        <v>#REF!</v>
      </c>
      <c r="L231" s="93" t="e">
        <f t="shared" si="81"/>
        <v>#REF!</v>
      </c>
      <c r="M231" s="93" t="e">
        <f t="shared" si="81"/>
        <v>#REF!</v>
      </c>
      <c r="N231" s="93" t="e">
        <f t="shared" si="81"/>
        <v>#REF!</v>
      </c>
      <c r="O231" s="93" t="e">
        <f t="shared" si="81"/>
        <v>#REF!</v>
      </c>
      <c r="P231" s="93" t="e">
        <f t="shared" si="81"/>
        <v>#REF!</v>
      </c>
      <c r="Q231" s="93" t="e">
        <f t="shared" si="81"/>
        <v>#REF!</v>
      </c>
      <c r="R231" s="93" t="e">
        <f t="shared" si="81"/>
        <v>#REF!</v>
      </c>
      <c r="S231" s="93" t="e">
        <f t="shared" si="81"/>
        <v>#REF!</v>
      </c>
      <c r="T231" s="93" t="e">
        <f t="shared" si="81"/>
        <v>#REF!</v>
      </c>
      <c r="U231" s="93" t="e">
        <f t="shared" si="81"/>
        <v>#REF!</v>
      </c>
      <c r="V231" s="93" t="e">
        <f t="shared" si="81"/>
        <v>#REF!</v>
      </c>
      <c r="W231" s="93" t="e">
        <f t="shared" si="81"/>
        <v>#REF!</v>
      </c>
      <c r="X231" s="93" t="e">
        <f t="shared" si="81"/>
        <v>#REF!</v>
      </c>
      <c r="Y231" s="93" t="e">
        <f t="shared" si="81"/>
        <v>#REF!</v>
      </c>
      <c r="Z231" s="93" t="e">
        <f t="shared" si="81"/>
        <v>#REF!</v>
      </c>
      <c r="AA231" s="93" t="e">
        <f t="shared" si="81"/>
        <v>#REF!</v>
      </c>
      <c r="AB231" s="93" t="e">
        <f t="shared" si="81"/>
        <v>#REF!</v>
      </c>
      <c r="AC231" s="93" t="e">
        <f t="shared" si="81"/>
        <v>#REF!</v>
      </c>
      <c r="AD231" s="93" t="e">
        <f t="shared" si="81"/>
        <v>#REF!</v>
      </c>
      <c r="AE231" s="93" t="e">
        <f t="shared" si="81"/>
        <v>#REF!</v>
      </c>
      <c r="AF231" s="93" t="e">
        <f t="shared" si="81"/>
        <v>#REF!</v>
      </c>
      <c r="AG231" s="93" t="e">
        <f t="shared" si="81"/>
        <v>#REF!</v>
      </c>
      <c r="AH231" s="93" t="e">
        <f t="shared" si="81"/>
        <v>#REF!</v>
      </c>
      <c r="AI231" s="93" t="e">
        <f t="shared" si="81"/>
        <v>#REF!</v>
      </c>
      <c r="AJ231" s="93" t="e">
        <f t="shared" si="81"/>
        <v>#REF!</v>
      </c>
      <c r="AK231" s="93" t="e">
        <f t="shared" si="81"/>
        <v>#REF!</v>
      </c>
      <c r="AL231" s="93" t="e">
        <f t="shared" si="81"/>
        <v>#REF!</v>
      </c>
      <c r="AM231" s="93" t="e">
        <f t="shared" si="81"/>
        <v>#REF!</v>
      </c>
      <c r="AN231" s="93" t="e">
        <f t="shared" si="81"/>
        <v>#REF!</v>
      </c>
      <c r="AO231" s="93" t="e">
        <f t="shared" si="81"/>
        <v>#REF!</v>
      </c>
      <c r="AP231" s="93" t="e">
        <f t="shared" si="81"/>
        <v>#REF!</v>
      </c>
      <c r="AQ231" s="93" t="e">
        <f t="shared" si="81"/>
        <v>#REF!</v>
      </c>
      <c r="AR231" s="93" t="e">
        <f t="shared" si="81"/>
        <v>#REF!</v>
      </c>
      <c r="AS231" s="93" t="e">
        <f t="shared" si="81"/>
        <v>#REF!</v>
      </c>
      <c r="AT231" s="93" t="e">
        <f t="shared" si="81"/>
        <v>#REF!</v>
      </c>
      <c r="AU231" s="93" t="e">
        <f t="shared" si="81"/>
        <v>#REF!</v>
      </c>
      <c r="AV231" s="93" t="e">
        <f t="shared" si="81"/>
        <v>#REF!</v>
      </c>
      <c r="AW231" s="93" t="e">
        <f t="shared" si="81"/>
        <v>#REF!</v>
      </c>
      <c r="AX231" s="93" t="e">
        <f t="shared" si="81"/>
        <v>#REF!</v>
      </c>
      <c r="AY231" s="93" t="e">
        <f t="shared" si="81"/>
        <v>#REF!</v>
      </c>
      <c r="AZ231" s="93" t="e">
        <f t="shared" si="81"/>
        <v>#REF!</v>
      </c>
      <c r="BA231" s="93" t="e">
        <f t="shared" si="81"/>
        <v>#REF!</v>
      </c>
      <c r="BB231" s="93" t="e">
        <f t="shared" si="81"/>
        <v>#REF!</v>
      </c>
    </row>
    <row r="232" spans="1:54" ht="16.5" x14ac:dyDescent="0.3">
      <c r="A232" s="16"/>
      <c r="B232" s="85"/>
      <c r="C232" s="92" t="s">
        <v>188</v>
      </c>
      <c r="D232" s="93"/>
      <c r="E232" s="93" t="e">
        <f t="shared" ref="E232:AJ232" si="82">adFgxPlct/adVmStratInvTot/adFacteurInflation</f>
        <v>#DIV/0!</v>
      </c>
      <c r="F232" s="93" t="e">
        <f t="shared" si="82"/>
        <v>#DIV/0!</v>
      </c>
      <c r="G232" s="93" t="e">
        <f t="shared" si="82"/>
        <v>#DIV/0!</v>
      </c>
      <c r="H232" s="93" t="e">
        <f t="shared" si="82"/>
        <v>#DIV/0!</v>
      </c>
      <c r="I232" s="93" t="e">
        <f t="shared" si="82"/>
        <v>#DIV/0!</v>
      </c>
      <c r="J232" s="93" t="e">
        <f t="shared" si="82"/>
        <v>#DIV/0!</v>
      </c>
      <c r="K232" s="93" t="e">
        <f t="shared" si="82"/>
        <v>#DIV/0!</v>
      </c>
      <c r="L232" s="93" t="e">
        <f t="shared" si="82"/>
        <v>#DIV/0!</v>
      </c>
      <c r="M232" s="93" t="e">
        <f t="shared" si="82"/>
        <v>#DIV/0!</v>
      </c>
      <c r="N232" s="93" t="e">
        <f t="shared" si="82"/>
        <v>#DIV/0!</v>
      </c>
      <c r="O232" s="93" t="e">
        <f t="shared" si="82"/>
        <v>#DIV/0!</v>
      </c>
      <c r="P232" s="93" t="e">
        <f t="shared" si="82"/>
        <v>#DIV/0!</v>
      </c>
      <c r="Q232" s="93" t="e">
        <f t="shared" si="82"/>
        <v>#DIV/0!</v>
      </c>
      <c r="R232" s="93" t="e">
        <f t="shared" si="82"/>
        <v>#DIV/0!</v>
      </c>
      <c r="S232" s="93" t="e">
        <f t="shared" si="82"/>
        <v>#DIV/0!</v>
      </c>
      <c r="T232" s="93" t="e">
        <f t="shared" si="82"/>
        <v>#DIV/0!</v>
      </c>
      <c r="U232" s="93" t="e">
        <f t="shared" si="82"/>
        <v>#DIV/0!</v>
      </c>
      <c r="V232" s="93" t="e">
        <f t="shared" si="82"/>
        <v>#DIV/0!</v>
      </c>
      <c r="W232" s="93" t="e">
        <f t="shared" si="82"/>
        <v>#DIV/0!</v>
      </c>
      <c r="X232" s="93" t="e">
        <f t="shared" si="82"/>
        <v>#DIV/0!</v>
      </c>
      <c r="Y232" s="93" t="e">
        <f t="shared" si="82"/>
        <v>#DIV/0!</v>
      </c>
      <c r="Z232" s="93" t="e">
        <f t="shared" si="82"/>
        <v>#DIV/0!</v>
      </c>
      <c r="AA232" s="93" t="e">
        <f t="shared" si="82"/>
        <v>#DIV/0!</v>
      </c>
      <c r="AB232" s="93" t="e">
        <f t="shared" si="82"/>
        <v>#DIV/0!</v>
      </c>
      <c r="AC232" s="93" t="e">
        <f t="shared" si="82"/>
        <v>#DIV/0!</v>
      </c>
      <c r="AD232" s="93" t="e">
        <f t="shared" si="82"/>
        <v>#DIV/0!</v>
      </c>
      <c r="AE232" s="93" t="e">
        <f t="shared" si="82"/>
        <v>#DIV/0!</v>
      </c>
      <c r="AF232" s="93" t="e">
        <f t="shared" si="82"/>
        <v>#DIV/0!</v>
      </c>
      <c r="AG232" s="93" t="e">
        <f t="shared" si="82"/>
        <v>#DIV/0!</v>
      </c>
      <c r="AH232" s="93" t="e">
        <f t="shared" si="82"/>
        <v>#DIV/0!</v>
      </c>
      <c r="AI232" s="93" t="e">
        <f t="shared" si="82"/>
        <v>#DIV/0!</v>
      </c>
      <c r="AJ232" s="93" t="e">
        <f t="shared" si="82"/>
        <v>#DIV/0!</v>
      </c>
      <c r="AK232" s="93" t="e">
        <f t="shared" ref="AK232:BB232" si="83">adFgxPlct/adVmStratInvTot/adFacteurInflation</f>
        <v>#DIV/0!</v>
      </c>
      <c r="AL232" s="93" t="e">
        <f t="shared" si="83"/>
        <v>#DIV/0!</v>
      </c>
      <c r="AM232" s="93" t="e">
        <f t="shared" si="83"/>
        <v>#DIV/0!</v>
      </c>
      <c r="AN232" s="93" t="e">
        <f t="shared" si="83"/>
        <v>#DIV/0!</v>
      </c>
      <c r="AO232" s="93" t="e">
        <f t="shared" si="83"/>
        <v>#DIV/0!</v>
      </c>
      <c r="AP232" s="93" t="e">
        <f t="shared" si="83"/>
        <v>#DIV/0!</v>
      </c>
      <c r="AQ232" s="93" t="e">
        <f t="shared" si="83"/>
        <v>#DIV/0!</v>
      </c>
      <c r="AR232" s="93" t="e">
        <f t="shared" si="83"/>
        <v>#DIV/0!</v>
      </c>
      <c r="AS232" s="93" t="e">
        <f t="shared" si="83"/>
        <v>#DIV/0!</v>
      </c>
      <c r="AT232" s="93" t="e">
        <f t="shared" si="83"/>
        <v>#DIV/0!</v>
      </c>
      <c r="AU232" s="93" t="e">
        <f t="shared" si="83"/>
        <v>#DIV/0!</v>
      </c>
      <c r="AV232" s="93" t="e">
        <f t="shared" si="83"/>
        <v>#DIV/0!</v>
      </c>
      <c r="AW232" s="93" t="e">
        <f t="shared" si="83"/>
        <v>#DIV/0!</v>
      </c>
      <c r="AX232" s="93" t="e">
        <f t="shared" si="83"/>
        <v>#DIV/0!</v>
      </c>
      <c r="AY232" s="93" t="e">
        <f t="shared" si="83"/>
        <v>#DIV/0!</v>
      </c>
      <c r="AZ232" s="93" t="e">
        <f t="shared" si="83"/>
        <v>#DIV/0!</v>
      </c>
      <c r="BA232" s="93" t="e">
        <f t="shared" si="83"/>
        <v>#DIV/0!</v>
      </c>
      <c r="BB232" s="93" t="e">
        <f t="shared" si="83"/>
        <v>#DIV/0!</v>
      </c>
    </row>
    <row r="233" spans="1:54" ht="16.5" x14ac:dyDescent="0.3">
      <c r="A233" s="16"/>
      <c r="B233" s="85"/>
      <c r="C233" s="92" t="s">
        <v>189</v>
      </c>
      <c r="D233" s="94" t="b">
        <f>AND(E233:BB233)</f>
        <v>1</v>
      </c>
      <c r="E233" s="94" t="b">
        <f t="shared" ref="E233:AI233" si="84">ABS(adFgxTot-adFgxPm-adFgxPrst-adFgxPlct)&lt;1</f>
        <v>1</v>
      </c>
      <c r="F233" s="94" t="b">
        <f t="shared" si="84"/>
        <v>1</v>
      </c>
      <c r="G233" s="94" t="b">
        <f t="shared" si="84"/>
        <v>1</v>
      </c>
      <c r="H233" s="94" t="b">
        <f t="shared" si="84"/>
        <v>1</v>
      </c>
      <c r="I233" s="94" t="b">
        <f t="shared" si="84"/>
        <v>1</v>
      </c>
      <c r="J233" s="94" t="b">
        <f t="shared" si="84"/>
        <v>1</v>
      </c>
      <c r="K233" s="94" t="b">
        <f t="shared" si="84"/>
        <v>1</v>
      </c>
      <c r="L233" s="94" t="b">
        <f t="shared" si="84"/>
        <v>1</v>
      </c>
      <c r="M233" s="94" t="b">
        <f t="shared" si="84"/>
        <v>1</v>
      </c>
      <c r="N233" s="94" t="b">
        <f t="shared" si="84"/>
        <v>1</v>
      </c>
      <c r="O233" s="94" t="b">
        <f t="shared" si="84"/>
        <v>1</v>
      </c>
      <c r="P233" s="94" t="b">
        <f t="shared" si="84"/>
        <v>1</v>
      </c>
      <c r="Q233" s="94" t="b">
        <f t="shared" si="84"/>
        <v>1</v>
      </c>
      <c r="R233" s="94" t="b">
        <f t="shared" si="84"/>
        <v>1</v>
      </c>
      <c r="S233" s="94" t="b">
        <f t="shared" si="84"/>
        <v>1</v>
      </c>
      <c r="T233" s="94" t="b">
        <f t="shared" si="84"/>
        <v>1</v>
      </c>
      <c r="U233" s="94" t="b">
        <f t="shared" si="84"/>
        <v>1</v>
      </c>
      <c r="V233" s="94" t="b">
        <f t="shared" si="84"/>
        <v>1</v>
      </c>
      <c r="W233" s="94" t="b">
        <f t="shared" si="84"/>
        <v>1</v>
      </c>
      <c r="X233" s="94" t="b">
        <f t="shared" si="84"/>
        <v>1</v>
      </c>
      <c r="Y233" s="94" t="b">
        <f t="shared" si="84"/>
        <v>1</v>
      </c>
      <c r="Z233" s="94" t="b">
        <f t="shared" si="84"/>
        <v>1</v>
      </c>
      <c r="AA233" s="94" t="b">
        <f t="shared" si="84"/>
        <v>1</v>
      </c>
      <c r="AB233" s="94" t="b">
        <f t="shared" si="84"/>
        <v>1</v>
      </c>
      <c r="AC233" s="94" t="b">
        <f t="shared" si="84"/>
        <v>1</v>
      </c>
      <c r="AD233" s="94" t="b">
        <f t="shared" si="84"/>
        <v>1</v>
      </c>
      <c r="AE233" s="94" t="b">
        <f t="shared" si="84"/>
        <v>1</v>
      </c>
      <c r="AF233" s="94" t="b">
        <f t="shared" si="84"/>
        <v>1</v>
      </c>
      <c r="AG233" s="94" t="b">
        <f t="shared" si="84"/>
        <v>1</v>
      </c>
      <c r="AH233" s="94" t="b">
        <f t="shared" si="84"/>
        <v>1</v>
      </c>
      <c r="AI233" s="94" t="b">
        <f t="shared" si="84"/>
        <v>1</v>
      </c>
      <c r="AJ233" s="94" t="b">
        <f t="shared" ref="AJ233:BB233" si="85">ABS(adFgxTot-adFgxPm-adFgxPrst-adFgxPlct)&lt;1</f>
        <v>1</v>
      </c>
      <c r="AK233" s="94" t="b">
        <f t="shared" si="85"/>
        <v>1</v>
      </c>
      <c r="AL233" s="94" t="b">
        <f t="shared" si="85"/>
        <v>1</v>
      </c>
      <c r="AM233" s="94" t="b">
        <f t="shared" si="85"/>
        <v>1</v>
      </c>
      <c r="AN233" s="94" t="b">
        <f t="shared" si="85"/>
        <v>1</v>
      </c>
      <c r="AO233" s="94" t="b">
        <f t="shared" si="85"/>
        <v>1</v>
      </c>
      <c r="AP233" s="94" t="b">
        <f t="shared" si="85"/>
        <v>1</v>
      </c>
      <c r="AQ233" s="94" t="b">
        <f t="shared" si="85"/>
        <v>1</v>
      </c>
      <c r="AR233" s="94" t="b">
        <f t="shared" si="85"/>
        <v>1</v>
      </c>
      <c r="AS233" s="94" t="b">
        <f t="shared" si="85"/>
        <v>1</v>
      </c>
      <c r="AT233" s="94" t="b">
        <f t="shared" si="85"/>
        <v>1</v>
      </c>
      <c r="AU233" s="94" t="b">
        <f t="shared" si="85"/>
        <v>1</v>
      </c>
      <c r="AV233" s="94" t="b">
        <f t="shared" si="85"/>
        <v>1</v>
      </c>
      <c r="AW233" s="94" t="b">
        <f t="shared" si="85"/>
        <v>1</v>
      </c>
      <c r="AX233" s="94" t="b">
        <f t="shared" si="85"/>
        <v>1</v>
      </c>
      <c r="AY233" s="94" t="b">
        <f t="shared" si="85"/>
        <v>1</v>
      </c>
      <c r="AZ233" s="94" t="b">
        <f t="shared" si="85"/>
        <v>1</v>
      </c>
      <c r="BA233" s="94" t="b">
        <f t="shared" si="85"/>
        <v>1</v>
      </c>
      <c r="BB233" s="94" t="b">
        <f t="shared" si="85"/>
        <v>1</v>
      </c>
    </row>
    <row r="234" spans="1:54" ht="16.5" x14ac:dyDescent="0.3">
      <c r="A234" s="16"/>
      <c r="B234" s="85"/>
      <c r="C234" s="95"/>
      <c r="D234" s="96"/>
      <c r="E234" s="96"/>
      <c r="F234" s="96"/>
      <c r="G234" s="96"/>
      <c r="H234" s="96"/>
      <c r="I234" s="96"/>
      <c r="J234" s="96"/>
      <c r="K234" s="96"/>
      <c r="L234" s="96"/>
      <c r="M234" s="96"/>
      <c r="N234" s="96"/>
      <c r="O234" s="96"/>
      <c r="P234" s="96"/>
      <c r="Q234" s="96"/>
      <c r="R234" s="96"/>
      <c r="S234" s="96"/>
      <c r="T234" s="96"/>
      <c r="U234" s="96"/>
      <c r="V234" s="96"/>
      <c r="W234" s="96"/>
      <c r="X234" s="96"/>
      <c r="Y234" s="96"/>
      <c r="Z234" s="96"/>
      <c r="AA234" s="96"/>
      <c r="AB234" s="96"/>
      <c r="AC234" s="96"/>
      <c r="AD234" s="96"/>
      <c r="AE234" s="96"/>
      <c r="AF234" s="96"/>
      <c r="AG234" s="96"/>
      <c r="AH234" s="96"/>
      <c r="AI234" s="96"/>
      <c r="AJ234" s="96"/>
      <c r="AK234" s="96"/>
      <c r="AL234" s="96"/>
      <c r="AM234" s="96"/>
      <c r="AN234" s="96"/>
      <c r="AO234" s="96"/>
      <c r="AP234" s="96"/>
      <c r="AQ234" s="96"/>
      <c r="AR234" s="96"/>
      <c r="AS234" s="96"/>
      <c r="AT234" s="96"/>
      <c r="AU234" s="96"/>
      <c r="AV234" s="96"/>
      <c r="AW234" s="96"/>
      <c r="AX234" s="96"/>
      <c r="AY234" s="96"/>
      <c r="AZ234" s="96"/>
      <c r="BA234" s="96"/>
      <c r="BB234" s="96"/>
    </row>
    <row r="236" spans="1:54" ht="16.5" x14ac:dyDescent="0.3">
      <c r="B236" s="97" t="s">
        <v>190</v>
      </c>
      <c r="C236" s="98"/>
      <c r="D236" s="99">
        <v>0</v>
      </c>
      <c r="E236" s="99">
        <v>1</v>
      </c>
      <c r="F236" s="99">
        <v>2</v>
      </c>
      <c r="G236" s="99">
        <v>3</v>
      </c>
      <c r="H236" s="99">
        <v>4</v>
      </c>
      <c r="I236" s="99">
        <v>5</v>
      </c>
      <c r="J236" s="99">
        <v>6</v>
      </c>
      <c r="K236" s="99">
        <v>7</v>
      </c>
      <c r="L236" s="99">
        <v>8</v>
      </c>
      <c r="M236" s="99">
        <v>9</v>
      </c>
      <c r="N236" s="99">
        <v>10</v>
      </c>
      <c r="O236" s="99">
        <v>11</v>
      </c>
      <c r="P236" s="99">
        <v>12</v>
      </c>
      <c r="Q236" s="99">
        <v>13</v>
      </c>
      <c r="R236" s="99">
        <v>14</v>
      </c>
      <c r="S236" s="99">
        <v>15</v>
      </c>
      <c r="T236" s="99">
        <v>16</v>
      </c>
      <c r="U236" s="99">
        <v>17</v>
      </c>
      <c r="V236" s="99">
        <v>18</v>
      </c>
      <c r="W236" s="99">
        <v>19</v>
      </c>
      <c r="X236" s="99">
        <v>20</v>
      </c>
      <c r="Y236" s="99">
        <v>21</v>
      </c>
      <c r="Z236" s="99">
        <v>22</v>
      </c>
      <c r="AA236" s="99">
        <v>23</v>
      </c>
      <c r="AB236" s="99">
        <v>24</v>
      </c>
      <c r="AC236" s="99">
        <v>25</v>
      </c>
      <c r="AD236" s="99">
        <v>26</v>
      </c>
      <c r="AE236" s="99">
        <v>27</v>
      </c>
      <c r="AF236" s="99">
        <v>28</v>
      </c>
      <c r="AG236" s="99">
        <v>29</v>
      </c>
      <c r="AH236" s="99">
        <v>30</v>
      </c>
      <c r="AI236" s="99">
        <v>31</v>
      </c>
      <c r="AJ236" s="99">
        <v>32</v>
      </c>
      <c r="AK236" s="99">
        <v>33</v>
      </c>
      <c r="AL236" s="99">
        <v>34</v>
      </c>
      <c r="AM236" s="99">
        <v>35</v>
      </c>
      <c r="AN236" s="99">
        <v>36</v>
      </c>
      <c r="AO236" s="99">
        <v>37</v>
      </c>
      <c r="AP236" s="99">
        <v>38</v>
      </c>
      <c r="AQ236" s="99">
        <v>39</v>
      </c>
      <c r="AR236" s="99">
        <v>40</v>
      </c>
      <c r="AS236" s="99">
        <v>41</v>
      </c>
      <c r="AT236" s="99">
        <v>42</v>
      </c>
      <c r="AU236" s="99">
        <v>43</v>
      </c>
      <c r="AV236" s="99">
        <v>44</v>
      </c>
      <c r="AW236" s="99">
        <v>45</v>
      </c>
      <c r="AX236" s="99">
        <v>46</v>
      </c>
      <c r="AY236" s="99">
        <v>47</v>
      </c>
      <c r="AZ236" s="99">
        <v>48</v>
      </c>
      <c r="BA236" s="99">
        <v>49</v>
      </c>
      <c r="BB236" s="100">
        <v>50</v>
      </c>
    </row>
    <row r="237" spans="1:54" ht="16.5" x14ac:dyDescent="0.3">
      <c r="B237" s="98"/>
      <c r="C237" s="101" t="s">
        <v>191</v>
      </c>
      <c r="D237" s="102"/>
      <c r="E237" s="102"/>
      <c r="F237" s="10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</row>
    <row r="238" spans="1:54" ht="16.5" x14ac:dyDescent="0.3">
      <c r="B238" s="98"/>
      <c r="C238" s="103" t="s">
        <v>192</v>
      </c>
      <c r="D238" s="104" t="e">
        <f>SUMIFS(#REF!,#REF!,prdAdChocS2Inflation,#REF!,adProjScenario,#REF!,adProjIteration)</f>
        <v>#REF!</v>
      </c>
      <c r="E238" s="104" t="e">
        <f>SUMIFS(#REF!,#REF!,prdAdChocS2Inflation,#REF!,adProjScenario,#REF!,adProjIteration)</f>
        <v>#REF!</v>
      </c>
      <c r="F238" s="104" t="e">
        <f>SUMIFS(#REF!,#REF!,prdAdChocS2Inflation,#REF!,adProjScenario,#REF!,adProjIteration)</f>
        <v>#REF!</v>
      </c>
      <c r="G238" s="104" t="e">
        <f>SUMIFS(#REF!,#REF!,prdAdChocS2Inflation,#REF!,adProjScenario,#REF!,adProjIteration)</f>
        <v>#REF!</v>
      </c>
      <c r="H238" s="104" t="e">
        <f>SUMIFS(#REF!,#REF!,prdAdChocS2Inflation,#REF!,adProjScenario,#REF!,adProjIteration)</f>
        <v>#REF!</v>
      </c>
      <c r="I238" s="104" t="e">
        <f>SUMIFS(#REF!,#REF!,prdAdChocS2Inflation,#REF!,adProjScenario,#REF!,adProjIteration)</f>
        <v>#REF!</v>
      </c>
      <c r="J238" s="104" t="e">
        <f>SUMIFS(#REF!,#REF!,prdAdChocS2Inflation,#REF!,adProjScenario,#REF!,adProjIteration)</f>
        <v>#REF!</v>
      </c>
      <c r="K238" s="104" t="e">
        <f>SUMIFS(#REF!,#REF!,prdAdChocS2Inflation,#REF!,adProjScenario,#REF!,adProjIteration)</f>
        <v>#REF!</v>
      </c>
      <c r="L238" s="104" t="e">
        <f>SUMIFS(#REF!,#REF!,prdAdChocS2Inflation,#REF!,adProjScenario,#REF!,adProjIteration)</f>
        <v>#REF!</v>
      </c>
      <c r="M238" s="104" t="e">
        <f>SUMIFS(#REF!,#REF!,prdAdChocS2Inflation,#REF!,adProjScenario,#REF!,adProjIteration)</f>
        <v>#REF!</v>
      </c>
      <c r="N238" s="104" t="e">
        <f>SUMIFS(#REF!,#REF!,prdAdChocS2Inflation,#REF!,adProjScenario,#REF!,adProjIteration)</f>
        <v>#REF!</v>
      </c>
      <c r="O238" s="104" t="e">
        <f>SUMIFS(#REF!,#REF!,prdAdChocS2Inflation,#REF!,adProjScenario,#REF!,adProjIteration)</f>
        <v>#REF!</v>
      </c>
      <c r="P238" s="104" t="e">
        <f>SUMIFS(#REF!,#REF!,prdAdChocS2Inflation,#REF!,adProjScenario,#REF!,adProjIteration)</f>
        <v>#REF!</v>
      </c>
      <c r="Q238" s="104" t="e">
        <f>SUMIFS(#REF!,#REF!,prdAdChocS2Inflation,#REF!,adProjScenario,#REF!,adProjIteration)</f>
        <v>#REF!</v>
      </c>
      <c r="R238" s="104" t="e">
        <f>SUMIFS(#REF!,#REF!,prdAdChocS2Inflation,#REF!,adProjScenario,#REF!,adProjIteration)</f>
        <v>#REF!</v>
      </c>
      <c r="S238" s="104" t="e">
        <f>SUMIFS(#REF!,#REF!,prdAdChocS2Inflation,#REF!,adProjScenario,#REF!,adProjIteration)</f>
        <v>#REF!</v>
      </c>
      <c r="T238" s="104" t="e">
        <f>SUMIFS(#REF!,#REF!,prdAdChocS2Inflation,#REF!,adProjScenario,#REF!,adProjIteration)</f>
        <v>#REF!</v>
      </c>
      <c r="U238" s="104" t="e">
        <f>SUMIFS(#REF!,#REF!,prdAdChocS2Inflation,#REF!,adProjScenario,#REF!,adProjIteration)</f>
        <v>#REF!</v>
      </c>
      <c r="V238" s="104" t="e">
        <f>SUMIFS(#REF!,#REF!,prdAdChocS2Inflation,#REF!,adProjScenario,#REF!,adProjIteration)</f>
        <v>#REF!</v>
      </c>
      <c r="W238" s="104" t="e">
        <f>SUMIFS(#REF!,#REF!,prdAdChocS2Inflation,#REF!,adProjScenario,#REF!,adProjIteration)</f>
        <v>#REF!</v>
      </c>
      <c r="X238" s="104" t="e">
        <f>SUMIFS(#REF!,#REF!,prdAdChocS2Inflation,#REF!,adProjScenario,#REF!,adProjIteration)</f>
        <v>#REF!</v>
      </c>
      <c r="Y238" s="104" t="e">
        <f>SUMIFS(#REF!,#REF!,prdAdChocS2Inflation,#REF!,adProjScenario,#REF!,adProjIteration)</f>
        <v>#REF!</v>
      </c>
      <c r="Z238" s="104" t="e">
        <f>SUMIFS(#REF!,#REF!,prdAdChocS2Inflation,#REF!,adProjScenario,#REF!,adProjIteration)</f>
        <v>#REF!</v>
      </c>
      <c r="AA238" s="104" t="e">
        <f>SUMIFS(#REF!,#REF!,prdAdChocS2Inflation,#REF!,adProjScenario,#REF!,adProjIteration)</f>
        <v>#REF!</v>
      </c>
      <c r="AB238" s="104" t="e">
        <f>SUMIFS(#REF!,#REF!,prdAdChocS2Inflation,#REF!,adProjScenario,#REF!,adProjIteration)</f>
        <v>#REF!</v>
      </c>
      <c r="AC238" s="104" t="e">
        <f>SUMIFS(#REF!,#REF!,prdAdChocS2Inflation,#REF!,adProjScenario,#REF!,adProjIteration)</f>
        <v>#REF!</v>
      </c>
      <c r="AD238" s="104" t="e">
        <f>SUMIFS(#REF!,#REF!,prdAdChocS2Inflation,#REF!,adProjScenario,#REF!,adProjIteration)</f>
        <v>#REF!</v>
      </c>
      <c r="AE238" s="104" t="e">
        <f>SUMIFS(#REF!,#REF!,prdAdChocS2Inflation,#REF!,adProjScenario,#REF!,adProjIteration)</f>
        <v>#REF!</v>
      </c>
      <c r="AF238" s="104" t="e">
        <f>SUMIFS(#REF!,#REF!,prdAdChocS2Inflation,#REF!,adProjScenario,#REF!,adProjIteration)</f>
        <v>#REF!</v>
      </c>
      <c r="AG238" s="104" t="e">
        <f>SUMIFS(#REF!,#REF!,prdAdChocS2Inflation,#REF!,adProjScenario,#REF!,adProjIteration)</f>
        <v>#REF!</v>
      </c>
      <c r="AH238" s="104" t="e">
        <f>SUMIFS(#REF!,#REF!,prdAdChocS2Inflation,#REF!,adProjScenario,#REF!,adProjIteration)</f>
        <v>#REF!</v>
      </c>
      <c r="AI238" s="104" t="e">
        <f>SUMIFS(#REF!,#REF!,prdAdChocS2Inflation,#REF!,adProjScenario,#REF!,adProjIteration)</f>
        <v>#REF!</v>
      </c>
      <c r="AJ238" s="104" t="e">
        <f>SUMIFS(#REF!,#REF!,prdAdChocS2Inflation,#REF!,adProjScenario,#REF!,adProjIteration)</f>
        <v>#REF!</v>
      </c>
      <c r="AK238" s="104" t="e">
        <f>SUMIFS(#REF!,#REF!,prdAdChocS2Inflation,#REF!,adProjScenario,#REF!,adProjIteration)</f>
        <v>#REF!</v>
      </c>
      <c r="AL238" s="104" t="e">
        <f>SUMIFS(#REF!,#REF!,prdAdChocS2Inflation,#REF!,adProjScenario,#REF!,adProjIteration)</f>
        <v>#REF!</v>
      </c>
      <c r="AM238" s="104" t="e">
        <f>SUMIFS(#REF!,#REF!,prdAdChocS2Inflation,#REF!,adProjScenario,#REF!,adProjIteration)</f>
        <v>#REF!</v>
      </c>
      <c r="AN238" s="104" t="e">
        <f>SUMIFS(#REF!,#REF!,prdAdChocS2Inflation,#REF!,adProjScenario,#REF!,adProjIteration)</f>
        <v>#REF!</v>
      </c>
      <c r="AO238" s="104" t="e">
        <f>SUMIFS(#REF!,#REF!,prdAdChocS2Inflation,#REF!,adProjScenario,#REF!,adProjIteration)</f>
        <v>#REF!</v>
      </c>
      <c r="AP238" s="104" t="e">
        <f>SUMIFS(#REF!,#REF!,prdAdChocS2Inflation,#REF!,adProjScenario,#REF!,adProjIteration)</f>
        <v>#REF!</v>
      </c>
      <c r="AQ238" s="104" t="e">
        <f>SUMIFS(#REF!,#REF!,prdAdChocS2Inflation,#REF!,adProjScenario,#REF!,adProjIteration)</f>
        <v>#REF!</v>
      </c>
      <c r="AR238" s="104" t="e">
        <f>SUMIFS(#REF!,#REF!,prdAdChocS2Inflation,#REF!,adProjScenario,#REF!,adProjIteration)</f>
        <v>#REF!</v>
      </c>
      <c r="AS238" s="104" t="e">
        <f>SUMIFS(#REF!,#REF!,prdAdChocS2Inflation,#REF!,adProjScenario,#REF!,adProjIteration)</f>
        <v>#REF!</v>
      </c>
      <c r="AT238" s="104" t="e">
        <f>SUMIFS(#REF!,#REF!,prdAdChocS2Inflation,#REF!,adProjScenario,#REF!,adProjIteration)</f>
        <v>#REF!</v>
      </c>
      <c r="AU238" s="104" t="e">
        <f>SUMIFS(#REF!,#REF!,prdAdChocS2Inflation,#REF!,adProjScenario,#REF!,adProjIteration)</f>
        <v>#REF!</v>
      </c>
      <c r="AV238" s="104" t="e">
        <f>SUMIFS(#REF!,#REF!,prdAdChocS2Inflation,#REF!,adProjScenario,#REF!,adProjIteration)</f>
        <v>#REF!</v>
      </c>
      <c r="AW238" s="104" t="e">
        <f>SUMIFS(#REF!,#REF!,prdAdChocS2Inflation,#REF!,adProjScenario,#REF!,adProjIteration)</f>
        <v>#REF!</v>
      </c>
      <c r="AX238" s="104" t="e">
        <f>SUMIFS(#REF!,#REF!,prdAdChocS2Inflation,#REF!,adProjScenario,#REF!,adProjIteration)</f>
        <v>#REF!</v>
      </c>
      <c r="AY238" s="104" t="e">
        <f>SUMIFS(#REF!,#REF!,prdAdChocS2Inflation,#REF!,adProjScenario,#REF!,adProjIteration)</f>
        <v>#REF!</v>
      </c>
      <c r="AZ238" s="104" t="e">
        <f>SUMIFS(#REF!,#REF!,prdAdChocS2Inflation,#REF!,adProjScenario,#REF!,adProjIteration)</f>
        <v>#REF!</v>
      </c>
      <c r="BA238" s="104" t="e">
        <f>SUMIFS(#REF!,#REF!,prdAdChocS2Inflation,#REF!,adProjScenario,#REF!,adProjIteration)</f>
        <v>#REF!</v>
      </c>
      <c r="BB238" s="104" t="e">
        <f>SUMIFS(#REF!,#REF!,prdAdChocS2Inflation,#REF!,adProjScenario,#REF!,adProjIteration)</f>
        <v>#REF!</v>
      </c>
    </row>
    <row r="239" spans="1:54" ht="16.5" x14ac:dyDescent="0.3">
      <c r="B239" s="98"/>
      <c r="C239" s="103" t="s">
        <v>193</v>
      </c>
      <c r="D239" s="102" t="e">
        <f>SUMIFS(#REF!,#REF!,prdAdChocS2Inflation,#REF!,adProjScenario,#REF!,adProjIteration)</f>
        <v>#REF!</v>
      </c>
      <c r="E239" s="105" t="e">
        <f>SUMIFS(#REF!,#REF!,prdAdChocS2Inflation,#REF!,adProjScenario,#REF!,adProjIteration)</f>
        <v>#REF!</v>
      </c>
      <c r="F239" s="105" t="e">
        <f>SUMIFS(#REF!,#REF!,prdAdChocS2Inflation,#REF!,adProjScenario,#REF!,adProjIteration)</f>
        <v>#REF!</v>
      </c>
      <c r="G239" s="102" t="e">
        <f>SUMIFS(#REF!,#REF!,prdAdChocS2Inflation,#REF!,adProjScenario,#REF!,adProjIteration)</f>
        <v>#REF!</v>
      </c>
      <c r="H239" s="102" t="e">
        <f>SUMIFS(#REF!,#REF!,prdAdChocS2Inflation,#REF!,adProjScenario,#REF!,adProjIteration)</f>
        <v>#REF!</v>
      </c>
      <c r="I239" s="102" t="e">
        <f>SUMIFS(#REF!,#REF!,prdAdChocS2Inflation,#REF!,adProjScenario,#REF!,adProjIteration)</f>
        <v>#REF!</v>
      </c>
      <c r="J239" s="102" t="e">
        <f>SUMIFS(#REF!,#REF!,prdAdChocS2Inflation,#REF!,adProjScenario,#REF!,adProjIteration)</f>
        <v>#REF!</v>
      </c>
      <c r="K239" s="102" t="e">
        <f>SUMIFS(#REF!,#REF!,prdAdChocS2Inflation,#REF!,adProjScenario,#REF!,adProjIteration)</f>
        <v>#REF!</v>
      </c>
      <c r="L239" s="102" t="e">
        <f>SUMIFS(#REF!,#REF!,prdAdChocS2Inflation,#REF!,adProjScenario,#REF!,adProjIteration)</f>
        <v>#REF!</v>
      </c>
      <c r="M239" s="102" t="e">
        <f>SUMIFS(#REF!,#REF!,prdAdChocS2Inflation,#REF!,adProjScenario,#REF!,adProjIteration)</f>
        <v>#REF!</v>
      </c>
      <c r="N239" s="102" t="e">
        <f>SUMIFS(#REF!,#REF!,prdAdChocS2Inflation,#REF!,adProjScenario,#REF!,adProjIteration)</f>
        <v>#REF!</v>
      </c>
      <c r="O239" s="102" t="e">
        <f>SUMIFS(#REF!,#REF!,prdAdChocS2Inflation,#REF!,adProjScenario,#REF!,adProjIteration)</f>
        <v>#REF!</v>
      </c>
      <c r="P239" s="102" t="e">
        <f>SUMIFS(#REF!,#REF!,prdAdChocS2Inflation,#REF!,adProjScenario,#REF!,adProjIteration)</f>
        <v>#REF!</v>
      </c>
      <c r="Q239" s="102" t="e">
        <f>SUMIFS(#REF!,#REF!,prdAdChocS2Inflation,#REF!,adProjScenario,#REF!,adProjIteration)</f>
        <v>#REF!</v>
      </c>
      <c r="R239" s="102" t="e">
        <f>SUMIFS(#REF!,#REF!,prdAdChocS2Inflation,#REF!,adProjScenario,#REF!,adProjIteration)</f>
        <v>#REF!</v>
      </c>
      <c r="S239" s="102" t="e">
        <f>SUMIFS(#REF!,#REF!,prdAdChocS2Inflation,#REF!,adProjScenario,#REF!,adProjIteration)</f>
        <v>#REF!</v>
      </c>
      <c r="T239" s="102" t="e">
        <f>SUMIFS(#REF!,#REF!,prdAdChocS2Inflation,#REF!,adProjScenario,#REF!,adProjIteration)</f>
        <v>#REF!</v>
      </c>
      <c r="U239" s="102" t="e">
        <f>SUMIFS(#REF!,#REF!,prdAdChocS2Inflation,#REF!,adProjScenario,#REF!,adProjIteration)</f>
        <v>#REF!</v>
      </c>
      <c r="V239" s="102" t="e">
        <f>SUMIFS(#REF!,#REF!,prdAdChocS2Inflation,#REF!,adProjScenario,#REF!,adProjIteration)</f>
        <v>#REF!</v>
      </c>
      <c r="W239" s="102" t="e">
        <f>SUMIFS(#REF!,#REF!,prdAdChocS2Inflation,#REF!,adProjScenario,#REF!,adProjIteration)</f>
        <v>#REF!</v>
      </c>
      <c r="X239" s="102" t="e">
        <f>SUMIFS(#REF!,#REF!,prdAdChocS2Inflation,#REF!,adProjScenario,#REF!,adProjIteration)</f>
        <v>#REF!</v>
      </c>
      <c r="Y239" s="102" t="e">
        <f>SUMIFS(#REF!,#REF!,prdAdChocS2Inflation,#REF!,adProjScenario,#REF!,adProjIteration)</f>
        <v>#REF!</v>
      </c>
      <c r="Z239" s="102" t="e">
        <f>SUMIFS(#REF!,#REF!,prdAdChocS2Inflation,#REF!,adProjScenario,#REF!,adProjIteration)</f>
        <v>#REF!</v>
      </c>
      <c r="AA239" s="102" t="e">
        <f>SUMIFS(#REF!,#REF!,prdAdChocS2Inflation,#REF!,adProjScenario,#REF!,adProjIteration)</f>
        <v>#REF!</v>
      </c>
      <c r="AB239" s="102" t="e">
        <f>SUMIFS(#REF!,#REF!,prdAdChocS2Inflation,#REF!,adProjScenario,#REF!,adProjIteration)</f>
        <v>#REF!</v>
      </c>
      <c r="AC239" s="102" t="e">
        <f>SUMIFS(#REF!,#REF!,prdAdChocS2Inflation,#REF!,adProjScenario,#REF!,adProjIteration)</f>
        <v>#REF!</v>
      </c>
      <c r="AD239" s="102" t="e">
        <f>SUMIFS(#REF!,#REF!,prdAdChocS2Inflation,#REF!,adProjScenario,#REF!,adProjIteration)</f>
        <v>#REF!</v>
      </c>
      <c r="AE239" s="102" t="e">
        <f>SUMIFS(#REF!,#REF!,prdAdChocS2Inflation,#REF!,adProjScenario,#REF!,adProjIteration)</f>
        <v>#REF!</v>
      </c>
      <c r="AF239" s="102" t="e">
        <f>SUMIFS(#REF!,#REF!,prdAdChocS2Inflation,#REF!,adProjScenario,#REF!,adProjIteration)</f>
        <v>#REF!</v>
      </c>
      <c r="AG239" s="102" t="e">
        <f>SUMIFS(#REF!,#REF!,prdAdChocS2Inflation,#REF!,adProjScenario,#REF!,adProjIteration)</f>
        <v>#REF!</v>
      </c>
      <c r="AH239" s="102" t="e">
        <f>SUMIFS(#REF!,#REF!,prdAdChocS2Inflation,#REF!,adProjScenario,#REF!,adProjIteration)</f>
        <v>#REF!</v>
      </c>
      <c r="AI239" s="102" t="e">
        <f>SUMIFS(#REF!,#REF!,prdAdChocS2Inflation,#REF!,adProjScenario,#REF!,adProjIteration)</f>
        <v>#REF!</v>
      </c>
      <c r="AJ239" s="102" t="e">
        <f>SUMIFS(#REF!,#REF!,prdAdChocS2Inflation,#REF!,adProjScenario,#REF!,adProjIteration)</f>
        <v>#REF!</v>
      </c>
      <c r="AK239" s="102" t="e">
        <f>SUMIFS(#REF!,#REF!,prdAdChocS2Inflation,#REF!,adProjScenario,#REF!,adProjIteration)</f>
        <v>#REF!</v>
      </c>
      <c r="AL239" s="102" t="e">
        <f>SUMIFS(#REF!,#REF!,prdAdChocS2Inflation,#REF!,adProjScenario,#REF!,adProjIteration)</f>
        <v>#REF!</v>
      </c>
      <c r="AM239" s="102" t="e">
        <f>SUMIFS(#REF!,#REF!,prdAdChocS2Inflation,#REF!,adProjScenario,#REF!,adProjIteration)</f>
        <v>#REF!</v>
      </c>
      <c r="AN239" s="102" t="e">
        <f>SUMIFS(#REF!,#REF!,prdAdChocS2Inflation,#REF!,adProjScenario,#REF!,adProjIteration)</f>
        <v>#REF!</v>
      </c>
      <c r="AO239" s="102" t="e">
        <f>SUMIFS(#REF!,#REF!,prdAdChocS2Inflation,#REF!,adProjScenario,#REF!,adProjIteration)</f>
        <v>#REF!</v>
      </c>
      <c r="AP239" s="102" t="e">
        <f>SUMIFS(#REF!,#REF!,prdAdChocS2Inflation,#REF!,adProjScenario,#REF!,adProjIteration)</f>
        <v>#REF!</v>
      </c>
      <c r="AQ239" s="102" t="e">
        <f>SUMIFS(#REF!,#REF!,prdAdChocS2Inflation,#REF!,adProjScenario,#REF!,adProjIteration)</f>
        <v>#REF!</v>
      </c>
      <c r="AR239" s="102" t="e">
        <f>SUMIFS(#REF!,#REF!,prdAdChocS2Inflation,#REF!,adProjScenario,#REF!,adProjIteration)</f>
        <v>#REF!</v>
      </c>
      <c r="AS239" s="102" t="e">
        <f>SUMIFS(#REF!,#REF!,prdAdChocS2Inflation,#REF!,adProjScenario,#REF!,adProjIteration)</f>
        <v>#REF!</v>
      </c>
      <c r="AT239" s="102" t="e">
        <f>SUMIFS(#REF!,#REF!,prdAdChocS2Inflation,#REF!,adProjScenario,#REF!,adProjIteration)</f>
        <v>#REF!</v>
      </c>
      <c r="AU239" s="102" t="e">
        <f>SUMIFS(#REF!,#REF!,prdAdChocS2Inflation,#REF!,adProjScenario,#REF!,adProjIteration)</f>
        <v>#REF!</v>
      </c>
      <c r="AV239" s="102" t="e">
        <f>SUMIFS(#REF!,#REF!,prdAdChocS2Inflation,#REF!,adProjScenario,#REF!,adProjIteration)</f>
        <v>#REF!</v>
      </c>
      <c r="AW239" s="102" t="e">
        <f>SUMIFS(#REF!,#REF!,prdAdChocS2Inflation,#REF!,adProjScenario,#REF!,adProjIteration)</f>
        <v>#REF!</v>
      </c>
      <c r="AX239" s="102" t="e">
        <f>SUMIFS(#REF!,#REF!,prdAdChocS2Inflation,#REF!,adProjScenario,#REF!,adProjIteration)</f>
        <v>#REF!</v>
      </c>
      <c r="AY239" s="102" t="e">
        <f>SUMIFS(#REF!,#REF!,prdAdChocS2Inflation,#REF!,adProjScenario,#REF!,adProjIteration)</f>
        <v>#REF!</v>
      </c>
      <c r="AZ239" s="102" t="e">
        <f>SUMIFS(#REF!,#REF!,prdAdChocS2Inflation,#REF!,adProjScenario,#REF!,adProjIteration)</f>
        <v>#REF!</v>
      </c>
      <c r="BA239" s="102" t="e">
        <f>SUMIFS(#REF!,#REF!,prdAdChocS2Inflation,#REF!,adProjScenario,#REF!,adProjIteration)</f>
        <v>#REF!</v>
      </c>
      <c r="BB239" s="102" t="e">
        <f>SUMIFS(#REF!,#REF!,prdAdChocS2Inflation,#REF!,adProjScenario,#REF!,adProjIteration)</f>
        <v>#REF!</v>
      </c>
    </row>
    <row r="240" spans="1:54" ht="16.5" x14ac:dyDescent="0.3">
      <c r="B240" s="98"/>
      <c r="C240" s="103"/>
      <c r="D240" s="102"/>
      <c r="E240" s="105"/>
      <c r="F240" s="105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</row>
    <row r="241" spans="1:54" ht="16.5" x14ac:dyDescent="0.3">
      <c r="B241" s="98"/>
      <c r="C241" s="101" t="s">
        <v>194</v>
      </c>
      <c r="D241" s="102"/>
      <c r="E241" s="105"/>
      <c r="F241" s="105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</row>
    <row r="242" spans="1:54" ht="16.5" x14ac:dyDescent="0.3">
      <c r="B242" s="98"/>
      <c r="C242" s="103" t="s">
        <v>195</v>
      </c>
      <c r="D242" s="102" t="e">
        <f>SUMIFS(#REF!,#REF!,adProjChocS2Gse,#REF!,adProjScenario,#REF!,adProjIteration,#REF!,"Beg")</f>
        <v>#REF!</v>
      </c>
      <c r="E242" s="102" t="e">
        <f>SUMIFS(#REF!,#REF!,adProjChocS2Gse,#REF!,adProjScenario,#REF!,adProjIteration,#REF!,"Beg")</f>
        <v>#REF!</v>
      </c>
      <c r="F242" s="102" t="e">
        <f>SUMIFS(#REF!,#REF!,adProjChocS2Gse,#REF!,adProjScenario,#REF!,adProjIteration,#REF!,"Beg")</f>
        <v>#REF!</v>
      </c>
      <c r="G242" s="102" t="e">
        <f>SUMIFS(#REF!,#REF!,adProjChocS2Gse,#REF!,adProjScenario,#REF!,adProjIteration,#REF!,"Beg")</f>
        <v>#REF!</v>
      </c>
      <c r="H242" s="102" t="e">
        <f>SUMIFS(#REF!,#REF!,adProjChocS2Gse,#REF!,adProjScenario,#REF!,adProjIteration,#REF!,"Beg")</f>
        <v>#REF!</v>
      </c>
      <c r="I242" s="102" t="e">
        <f>SUMIFS(#REF!,#REF!,adProjChocS2Gse,#REF!,adProjScenario,#REF!,adProjIteration,#REF!,"Beg")</f>
        <v>#REF!</v>
      </c>
      <c r="J242" s="102" t="e">
        <f>SUMIFS(#REF!,#REF!,adProjChocS2Gse,#REF!,adProjScenario,#REF!,adProjIteration,#REF!,"Beg")</f>
        <v>#REF!</v>
      </c>
      <c r="K242" s="102" t="e">
        <f>SUMIFS(#REF!,#REF!,adProjChocS2Gse,#REF!,adProjScenario,#REF!,adProjIteration,#REF!,"Beg")</f>
        <v>#REF!</v>
      </c>
      <c r="L242" s="102" t="e">
        <f>SUMIFS(#REF!,#REF!,adProjChocS2Gse,#REF!,adProjScenario,#REF!,adProjIteration,#REF!,"Beg")</f>
        <v>#REF!</v>
      </c>
      <c r="M242" s="102" t="e">
        <f>SUMIFS(#REF!,#REF!,adProjChocS2Gse,#REF!,adProjScenario,#REF!,adProjIteration,#REF!,"Beg")</f>
        <v>#REF!</v>
      </c>
      <c r="N242" s="102" t="e">
        <f>SUMIFS(#REF!,#REF!,adProjChocS2Gse,#REF!,adProjScenario,#REF!,adProjIteration,#REF!,"Beg")</f>
        <v>#REF!</v>
      </c>
      <c r="O242" s="102" t="e">
        <f>SUMIFS(#REF!,#REF!,adProjChocS2Gse,#REF!,adProjScenario,#REF!,adProjIteration,#REF!,"Beg")</f>
        <v>#REF!</v>
      </c>
      <c r="P242" s="102" t="e">
        <f>SUMIFS(#REF!,#REF!,adProjChocS2Gse,#REF!,adProjScenario,#REF!,adProjIteration,#REF!,"Beg")</f>
        <v>#REF!</v>
      </c>
      <c r="Q242" s="102" t="e">
        <f>SUMIFS(#REF!,#REF!,adProjChocS2Gse,#REF!,adProjScenario,#REF!,adProjIteration,#REF!,"Beg")</f>
        <v>#REF!</v>
      </c>
      <c r="R242" s="102" t="e">
        <f>SUMIFS(#REF!,#REF!,adProjChocS2Gse,#REF!,adProjScenario,#REF!,adProjIteration,#REF!,"Beg")</f>
        <v>#REF!</v>
      </c>
      <c r="S242" s="102" t="e">
        <f>SUMIFS(#REF!,#REF!,adProjChocS2Gse,#REF!,adProjScenario,#REF!,adProjIteration,#REF!,"Beg")</f>
        <v>#REF!</v>
      </c>
      <c r="T242" s="102" t="e">
        <f>SUMIFS(#REF!,#REF!,adProjChocS2Gse,#REF!,adProjScenario,#REF!,adProjIteration,#REF!,"Beg")</f>
        <v>#REF!</v>
      </c>
      <c r="U242" s="102" t="e">
        <f>SUMIFS(#REF!,#REF!,adProjChocS2Gse,#REF!,adProjScenario,#REF!,adProjIteration,#REF!,"Beg")</f>
        <v>#REF!</v>
      </c>
      <c r="V242" s="102" t="e">
        <f>SUMIFS(#REF!,#REF!,adProjChocS2Gse,#REF!,adProjScenario,#REF!,adProjIteration,#REF!,"Beg")</f>
        <v>#REF!</v>
      </c>
      <c r="W242" s="102" t="e">
        <f>SUMIFS(#REF!,#REF!,adProjChocS2Gse,#REF!,adProjScenario,#REF!,adProjIteration,#REF!,"Beg")</f>
        <v>#REF!</v>
      </c>
      <c r="X242" s="102" t="e">
        <f>SUMIFS(#REF!,#REF!,adProjChocS2Gse,#REF!,adProjScenario,#REF!,adProjIteration,#REF!,"Beg")</f>
        <v>#REF!</v>
      </c>
      <c r="Y242" s="102" t="e">
        <f>SUMIFS(#REF!,#REF!,adProjChocS2Gse,#REF!,adProjScenario,#REF!,adProjIteration,#REF!,"Beg")</f>
        <v>#REF!</v>
      </c>
      <c r="Z242" s="102" t="e">
        <f>SUMIFS(#REF!,#REF!,adProjChocS2Gse,#REF!,adProjScenario,#REF!,adProjIteration,#REF!,"Beg")</f>
        <v>#REF!</v>
      </c>
      <c r="AA242" s="102" t="e">
        <f>SUMIFS(#REF!,#REF!,adProjChocS2Gse,#REF!,adProjScenario,#REF!,adProjIteration,#REF!,"Beg")</f>
        <v>#REF!</v>
      </c>
      <c r="AB242" s="102" t="e">
        <f>SUMIFS(#REF!,#REF!,adProjChocS2Gse,#REF!,adProjScenario,#REF!,adProjIteration,#REF!,"Beg")</f>
        <v>#REF!</v>
      </c>
      <c r="AC242" s="102" t="e">
        <f>SUMIFS(#REF!,#REF!,adProjChocS2Gse,#REF!,adProjScenario,#REF!,adProjIteration,#REF!,"Beg")</f>
        <v>#REF!</v>
      </c>
      <c r="AD242" s="102" t="e">
        <f>SUMIFS(#REF!,#REF!,adProjChocS2Gse,#REF!,adProjScenario,#REF!,adProjIteration,#REF!,"Beg")</f>
        <v>#REF!</v>
      </c>
      <c r="AE242" s="102" t="e">
        <f>SUMIFS(#REF!,#REF!,adProjChocS2Gse,#REF!,adProjScenario,#REF!,adProjIteration,#REF!,"Beg")</f>
        <v>#REF!</v>
      </c>
      <c r="AF242" s="102" t="e">
        <f>SUMIFS(#REF!,#REF!,adProjChocS2Gse,#REF!,adProjScenario,#REF!,adProjIteration,#REF!,"Beg")</f>
        <v>#REF!</v>
      </c>
      <c r="AG242" s="102" t="e">
        <f>SUMIFS(#REF!,#REF!,adProjChocS2Gse,#REF!,adProjScenario,#REF!,adProjIteration,#REF!,"Beg")</f>
        <v>#REF!</v>
      </c>
      <c r="AH242" s="102" t="e">
        <f>SUMIFS(#REF!,#REF!,adProjChocS2Gse,#REF!,adProjScenario,#REF!,adProjIteration,#REF!,"Beg")</f>
        <v>#REF!</v>
      </c>
      <c r="AI242" s="102" t="e">
        <f>SUMIFS(#REF!,#REF!,adProjChocS2Gse,#REF!,adProjScenario,#REF!,adProjIteration,#REF!,"Beg")</f>
        <v>#REF!</v>
      </c>
      <c r="AJ242" s="102" t="e">
        <f>SUMIFS(#REF!,#REF!,adProjChocS2Gse,#REF!,adProjScenario,#REF!,adProjIteration,#REF!,"Beg")</f>
        <v>#REF!</v>
      </c>
      <c r="AK242" s="102" t="e">
        <f>SUMIFS(#REF!,#REF!,adProjChocS2Gse,#REF!,adProjScenario,#REF!,adProjIteration,#REF!,"Beg")</f>
        <v>#REF!</v>
      </c>
      <c r="AL242" s="102" t="e">
        <f>SUMIFS(#REF!,#REF!,adProjChocS2Gse,#REF!,adProjScenario,#REF!,adProjIteration,#REF!,"Beg")</f>
        <v>#REF!</v>
      </c>
      <c r="AM242" s="102" t="e">
        <f>SUMIFS(#REF!,#REF!,adProjChocS2Gse,#REF!,adProjScenario,#REF!,adProjIteration,#REF!,"Beg")</f>
        <v>#REF!</v>
      </c>
      <c r="AN242" s="102" t="e">
        <f>SUMIFS(#REF!,#REF!,adProjChocS2Gse,#REF!,adProjScenario,#REF!,adProjIteration,#REF!,"Beg")</f>
        <v>#REF!</v>
      </c>
      <c r="AO242" s="102" t="e">
        <f>SUMIFS(#REF!,#REF!,adProjChocS2Gse,#REF!,adProjScenario,#REF!,adProjIteration,#REF!,"Beg")</f>
        <v>#REF!</v>
      </c>
      <c r="AP242" s="102" t="e">
        <f>SUMIFS(#REF!,#REF!,adProjChocS2Gse,#REF!,adProjScenario,#REF!,adProjIteration,#REF!,"Beg")</f>
        <v>#REF!</v>
      </c>
      <c r="AQ242" s="102" t="e">
        <f>SUMIFS(#REF!,#REF!,adProjChocS2Gse,#REF!,adProjScenario,#REF!,adProjIteration,#REF!,"Beg")</f>
        <v>#REF!</v>
      </c>
      <c r="AR242" s="102" t="e">
        <f>SUMIFS(#REF!,#REF!,adProjChocS2Gse,#REF!,adProjScenario,#REF!,adProjIteration,#REF!,"Beg")</f>
        <v>#REF!</v>
      </c>
      <c r="AS242" s="102" t="e">
        <f>SUMIFS(#REF!,#REF!,adProjChocS2Gse,#REF!,adProjScenario,#REF!,adProjIteration,#REF!,"Beg")</f>
        <v>#REF!</v>
      </c>
      <c r="AT242" s="102" t="e">
        <f>SUMIFS(#REF!,#REF!,adProjChocS2Gse,#REF!,adProjScenario,#REF!,adProjIteration,#REF!,"Beg")</f>
        <v>#REF!</v>
      </c>
      <c r="AU242" s="102" t="e">
        <f>SUMIFS(#REF!,#REF!,adProjChocS2Gse,#REF!,adProjScenario,#REF!,adProjIteration,#REF!,"Beg")</f>
        <v>#REF!</v>
      </c>
      <c r="AV242" s="102" t="e">
        <f>SUMIFS(#REF!,#REF!,adProjChocS2Gse,#REF!,adProjScenario,#REF!,adProjIteration,#REF!,"Beg")</f>
        <v>#REF!</v>
      </c>
      <c r="AW242" s="102" t="e">
        <f>SUMIFS(#REF!,#REF!,adProjChocS2Gse,#REF!,adProjScenario,#REF!,adProjIteration,#REF!,"Beg")</f>
        <v>#REF!</v>
      </c>
      <c r="AX242" s="102" t="e">
        <f>SUMIFS(#REF!,#REF!,adProjChocS2Gse,#REF!,adProjScenario,#REF!,adProjIteration,#REF!,"Beg")</f>
        <v>#REF!</v>
      </c>
      <c r="AY242" s="102" t="e">
        <f>SUMIFS(#REF!,#REF!,adProjChocS2Gse,#REF!,adProjScenario,#REF!,adProjIteration,#REF!,"Beg")</f>
        <v>#REF!</v>
      </c>
      <c r="AZ242" s="102" t="e">
        <f>SUMIFS(#REF!,#REF!,adProjChocS2Gse,#REF!,adProjScenario,#REF!,adProjIteration,#REF!,"Beg")</f>
        <v>#REF!</v>
      </c>
      <c r="BA242" s="102" t="e">
        <f>SUMIFS(#REF!,#REF!,adProjChocS2Gse,#REF!,adProjScenario,#REF!,adProjIteration,#REF!,"Beg")</f>
        <v>#REF!</v>
      </c>
      <c r="BB242" s="102" t="e">
        <f>SUMIFS(#REF!,#REF!,adProjChocS2Gse,#REF!,adProjScenario,#REF!,adProjIteration,#REF!,"Beg")</f>
        <v>#REF!</v>
      </c>
    </row>
    <row r="243" spans="1:54" ht="16.5" x14ac:dyDescent="0.3">
      <c r="B243" s="98"/>
      <c r="C243" s="103" t="s">
        <v>196</v>
      </c>
      <c r="D243" s="102" t="e">
        <f>SUMIFS(#REF!,#REF!,adProjChocS2Gse,#REF!,adProjScenario,#REF!,adProjIteration,#REF!,"End")</f>
        <v>#REF!</v>
      </c>
      <c r="E243" s="102" t="e">
        <f>SUMIFS(#REF!,#REF!,adProjChocS2Gse,#REF!,adProjScenario,#REF!,adProjIteration,#REF!,"End")</f>
        <v>#REF!</v>
      </c>
      <c r="F243" s="102" t="e">
        <f>SUMIFS(#REF!,#REF!,adProjChocS2Gse,#REF!,adProjScenario,#REF!,adProjIteration,#REF!,"End")</f>
        <v>#REF!</v>
      </c>
      <c r="G243" s="102" t="e">
        <f>SUMIFS(#REF!,#REF!,adProjChocS2Gse,#REF!,adProjScenario,#REF!,adProjIteration,#REF!,"End")</f>
        <v>#REF!</v>
      </c>
      <c r="H243" s="102" t="e">
        <f>SUMIFS(#REF!,#REF!,adProjChocS2Gse,#REF!,adProjScenario,#REF!,adProjIteration,#REF!,"End")</f>
        <v>#REF!</v>
      </c>
      <c r="I243" s="102" t="e">
        <f>SUMIFS(#REF!,#REF!,adProjChocS2Gse,#REF!,adProjScenario,#REF!,adProjIteration,#REF!,"End")</f>
        <v>#REF!</v>
      </c>
      <c r="J243" s="102" t="e">
        <f>SUMIFS(#REF!,#REF!,adProjChocS2Gse,#REF!,adProjScenario,#REF!,adProjIteration,#REF!,"End")</f>
        <v>#REF!</v>
      </c>
      <c r="K243" s="102" t="e">
        <f>SUMIFS(#REF!,#REF!,adProjChocS2Gse,#REF!,adProjScenario,#REF!,adProjIteration,#REF!,"End")</f>
        <v>#REF!</v>
      </c>
      <c r="L243" s="102" t="e">
        <f>SUMIFS(#REF!,#REF!,adProjChocS2Gse,#REF!,adProjScenario,#REF!,adProjIteration,#REF!,"End")</f>
        <v>#REF!</v>
      </c>
      <c r="M243" s="102" t="e">
        <f>SUMIFS(#REF!,#REF!,adProjChocS2Gse,#REF!,adProjScenario,#REF!,adProjIteration,#REF!,"End")</f>
        <v>#REF!</v>
      </c>
      <c r="N243" s="102" t="e">
        <f>SUMIFS(#REF!,#REF!,adProjChocS2Gse,#REF!,adProjScenario,#REF!,adProjIteration,#REF!,"End")</f>
        <v>#REF!</v>
      </c>
      <c r="O243" s="102" t="e">
        <f>SUMIFS(#REF!,#REF!,adProjChocS2Gse,#REF!,adProjScenario,#REF!,adProjIteration,#REF!,"End")</f>
        <v>#REF!</v>
      </c>
      <c r="P243" s="102" t="e">
        <f>SUMIFS(#REF!,#REF!,adProjChocS2Gse,#REF!,adProjScenario,#REF!,adProjIteration,#REF!,"End")</f>
        <v>#REF!</v>
      </c>
      <c r="Q243" s="102" t="e">
        <f>SUMIFS(#REF!,#REF!,adProjChocS2Gse,#REF!,adProjScenario,#REF!,adProjIteration,#REF!,"End")</f>
        <v>#REF!</v>
      </c>
      <c r="R243" s="102" t="e">
        <f>SUMIFS(#REF!,#REF!,adProjChocS2Gse,#REF!,adProjScenario,#REF!,adProjIteration,#REF!,"End")</f>
        <v>#REF!</v>
      </c>
      <c r="S243" s="102" t="e">
        <f>SUMIFS(#REF!,#REF!,adProjChocS2Gse,#REF!,adProjScenario,#REF!,adProjIteration,#REF!,"End")</f>
        <v>#REF!</v>
      </c>
      <c r="T243" s="102" t="e">
        <f>SUMIFS(#REF!,#REF!,adProjChocS2Gse,#REF!,adProjScenario,#REF!,adProjIteration,#REF!,"End")</f>
        <v>#REF!</v>
      </c>
      <c r="U243" s="102" t="e">
        <f>SUMIFS(#REF!,#REF!,adProjChocS2Gse,#REF!,adProjScenario,#REF!,adProjIteration,#REF!,"End")</f>
        <v>#REF!</v>
      </c>
      <c r="V243" s="102" t="e">
        <f>SUMIFS(#REF!,#REF!,adProjChocS2Gse,#REF!,adProjScenario,#REF!,adProjIteration,#REF!,"End")</f>
        <v>#REF!</v>
      </c>
      <c r="W243" s="102" t="e">
        <f>SUMIFS(#REF!,#REF!,adProjChocS2Gse,#REF!,adProjScenario,#REF!,adProjIteration,#REF!,"End")</f>
        <v>#REF!</v>
      </c>
      <c r="X243" s="102" t="e">
        <f>SUMIFS(#REF!,#REF!,adProjChocS2Gse,#REF!,adProjScenario,#REF!,adProjIteration,#REF!,"End")</f>
        <v>#REF!</v>
      </c>
      <c r="Y243" s="102" t="e">
        <f>SUMIFS(#REF!,#REF!,adProjChocS2Gse,#REF!,adProjScenario,#REF!,adProjIteration,#REF!,"End")</f>
        <v>#REF!</v>
      </c>
      <c r="Z243" s="102" t="e">
        <f>SUMIFS(#REF!,#REF!,adProjChocS2Gse,#REF!,adProjScenario,#REF!,adProjIteration,#REF!,"End")</f>
        <v>#REF!</v>
      </c>
      <c r="AA243" s="102" t="e">
        <f>SUMIFS(#REF!,#REF!,adProjChocS2Gse,#REF!,adProjScenario,#REF!,adProjIteration,#REF!,"End")</f>
        <v>#REF!</v>
      </c>
      <c r="AB243" s="102" t="e">
        <f>SUMIFS(#REF!,#REF!,adProjChocS2Gse,#REF!,adProjScenario,#REF!,adProjIteration,#REF!,"End")</f>
        <v>#REF!</v>
      </c>
      <c r="AC243" s="102" t="e">
        <f>SUMIFS(#REF!,#REF!,adProjChocS2Gse,#REF!,adProjScenario,#REF!,adProjIteration,#REF!,"End")</f>
        <v>#REF!</v>
      </c>
      <c r="AD243" s="102" t="e">
        <f>SUMIFS(#REF!,#REF!,adProjChocS2Gse,#REF!,adProjScenario,#REF!,adProjIteration,#REF!,"End")</f>
        <v>#REF!</v>
      </c>
      <c r="AE243" s="102" t="e">
        <f>SUMIFS(#REF!,#REF!,adProjChocS2Gse,#REF!,adProjScenario,#REF!,adProjIteration,#REF!,"End")</f>
        <v>#REF!</v>
      </c>
      <c r="AF243" s="102" t="e">
        <f>SUMIFS(#REF!,#REF!,adProjChocS2Gse,#REF!,adProjScenario,#REF!,adProjIteration,#REF!,"End")</f>
        <v>#REF!</v>
      </c>
      <c r="AG243" s="102" t="e">
        <f>SUMIFS(#REF!,#REF!,adProjChocS2Gse,#REF!,adProjScenario,#REF!,adProjIteration,#REF!,"End")</f>
        <v>#REF!</v>
      </c>
      <c r="AH243" s="102" t="e">
        <f>SUMIFS(#REF!,#REF!,adProjChocS2Gse,#REF!,adProjScenario,#REF!,adProjIteration,#REF!,"End")</f>
        <v>#REF!</v>
      </c>
      <c r="AI243" s="102" t="e">
        <f>SUMIFS(#REF!,#REF!,adProjChocS2Gse,#REF!,adProjScenario,#REF!,adProjIteration,#REF!,"End")</f>
        <v>#REF!</v>
      </c>
      <c r="AJ243" s="102" t="e">
        <f>SUMIFS(#REF!,#REF!,adProjChocS2Gse,#REF!,adProjScenario,#REF!,adProjIteration,#REF!,"End")</f>
        <v>#REF!</v>
      </c>
      <c r="AK243" s="102" t="e">
        <f>SUMIFS(#REF!,#REF!,adProjChocS2Gse,#REF!,adProjScenario,#REF!,adProjIteration,#REF!,"End")</f>
        <v>#REF!</v>
      </c>
      <c r="AL243" s="102" t="e">
        <f>SUMIFS(#REF!,#REF!,adProjChocS2Gse,#REF!,adProjScenario,#REF!,adProjIteration,#REF!,"End")</f>
        <v>#REF!</v>
      </c>
      <c r="AM243" s="102" t="e">
        <f>SUMIFS(#REF!,#REF!,adProjChocS2Gse,#REF!,adProjScenario,#REF!,adProjIteration,#REF!,"End")</f>
        <v>#REF!</v>
      </c>
      <c r="AN243" s="102" t="e">
        <f>SUMIFS(#REF!,#REF!,adProjChocS2Gse,#REF!,adProjScenario,#REF!,adProjIteration,#REF!,"End")</f>
        <v>#REF!</v>
      </c>
      <c r="AO243" s="102" t="e">
        <f>SUMIFS(#REF!,#REF!,adProjChocS2Gse,#REF!,adProjScenario,#REF!,adProjIteration,#REF!,"End")</f>
        <v>#REF!</v>
      </c>
      <c r="AP243" s="102" t="e">
        <f>SUMIFS(#REF!,#REF!,adProjChocS2Gse,#REF!,adProjScenario,#REF!,adProjIteration,#REF!,"End")</f>
        <v>#REF!</v>
      </c>
      <c r="AQ243" s="102" t="e">
        <f>SUMIFS(#REF!,#REF!,adProjChocS2Gse,#REF!,adProjScenario,#REF!,adProjIteration,#REF!,"End")</f>
        <v>#REF!</v>
      </c>
      <c r="AR243" s="102" t="e">
        <f>SUMIFS(#REF!,#REF!,adProjChocS2Gse,#REF!,adProjScenario,#REF!,adProjIteration,#REF!,"End")</f>
        <v>#REF!</v>
      </c>
      <c r="AS243" s="102" t="e">
        <f>SUMIFS(#REF!,#REF!,adProjChocS2Gse,#REF!,adProjScenario,#REF!,adProjIteration,#REF!,"End")</f>
        <v>#REF!</v>
      </c>
      <c r="AT243" s="102" t="e">
        <f>SUMIFS(#REF!,#REF!,adProjChocS2Gse,#REF!,adProjScenario,#REF!,adProjIteration,#REF!,"End")</f>
        <v>#REF!</v>
      </c>
      <c r="AU243" s="102" t="e">
        <f>SUMIFS(#REF!,#REF!,adProjChocS2Gse,#REF!,adProjScenario,#REF!,adProjIteration,#REF!,"End")</f>
        <v>#REF!</v>
      </c>
      <c r="AV243" s="102" t="e">
        <f>SUMIFS(#REF!,#REF!,adProjChocS2Gse,#REF!,adProjScenario,#REF!,adProjIteration,#REF!,"End")</f>
        <v>#REF!</v>
      </c>
      <c r="AW243" s="102" t="e">
        <f>SUMIFS(#REF!,#REF!,adProjChocS2Gse,#REF!,adProjScenario,#REF!,adProjIteration,#REF!,"End")</f>
        <v>#REF!</v>
      </c>
      <c r="AX243" s="102" t="e">
        <f>SUMIFS(#REF!,#REF!,adProjChocS2Gse,#REF!,adProjScenario,#REF!,adProjIteration,#REF!,"End")</f>
        <v>#REF!</v>
      </c>
      <c r="AY243" s="102" t="e">
        <f>SUMIFS(#REF!,#REF!,adProjChocS2Gse,#REF!,adProjScenario,#REF!,adProjIteration,#REF!,"End")</f>
        <v>#REF!</v>
      </c>
      <c r="AZ243" s="102" t="e">
        <f>SUMIFS(#REF!,#REF!,adProjChocS2Gse,#REF!,adProjScenario,#REF!,adProjIteration,#REF!,"End")</f>
        <v>#REF!</v>
      </c>
      <c r="BA243" s="102" t="e">
        <f>SUMIFS(#REF!,#REF!,adProjChocS2Gse,#REF!,adProjScenario,#REF!,adProjIteration,#REF!,"End")</f>
        <v>#REF!</v>
      </c>
      <c r="BB243" s="102" t="e">
        <f>SUMIFS(#REF!,#REF!,adProjChocS2Gse,#REF!,adProjScenario,#REF!,adProjIteration,#REF!,"End")</f>
        <v>#REF!</v>
      </c>
    </row>
    <row r="244" spans="1:54" ht="16.5" x14ac:dyDescent="0.3">
      <c r="B244" s="98"/>
      <c r="C244" s="106" t="s">
        <v>197</v>
      </c>
      <c r="D244" s="102"/>
      <c r="E244" s="107" t="e">
        <f t="shared" ref="E244:AJ244" si="86">(1/adDeflFin)^(1/adProjIteration)-1</f>
        <v>#REF!</v>
      </c>
      <c r="F244" s="107" t="e">
        <f t="shared" si="86"/>
        <v>#REF!</v>
      </c>
      <c r="G244" s="107" t="e">
        <f t="shared" si="86"/>
        <v>#REF!</v>
      </c>
      <c r="H244" s="107" t="e">
        <f t="shared" si="86"/>
        <v>#REF!</v>
      </c>
      <c r="I244" s="107" t="e">
        <f t="shared" si="86"/>
        <v>#REF!</v>
      </c>
      <c r="J244" s="107" t="e">
        <f t="shared" si="86"/>
        <v>#REF!</v>
      </c>
      <c r="K244" s="107" t="e">
        <f t="shared" si="86"/>
        <v>#REF!</v>
      </c>
      <c r="L244" s="107" t="e">
        <f t="shared" si="86"/>
        <v>#REF!</v>
      </c>
      <c r="M244" s="107" t="e">
        <f t="shared" si="86"/>
        <v>#REF!</v>
      </c>
      <c r="N244" s="107" t="e">
        <f t="shared" si="86"/>
        <v>#REF!</v>
      </c>
      <c r="O244" s="107" t="e">
        <f t="shared" si="86"/>
        <v>#REF!</v>
      </c>
      <c r="P244" s="107" t="e">
        <f t="shared" si="86"/>
        <v>#REF!</v>
      </c>
      <c r="Q244" s="107" t="e">
        <f t="shared" si="86"/>
        <v>#REF!</v>
      </c>
      <c r="R244" s="107" t="e">
        <f t="shared" si="86"/>
        <v>#REF!</v>
      </c>
      <c r="S244" s="107" t="e">
        <f t="shared" si="86"/>
        <v>#REF!</v>
      </c>
      <c r="T244" s="107" t="e">
        <f t="shared" si="86"/>
        <v>#REF!</v>
      </c>
      <c r="U244" s="107" t="e">
        <f t="shared" si="86"/>
        <v>#REF!</v>
      </c>
      <c r="V244" s="107" t="e">
        <f t="shared" si="86"/>
        <v>#REF!</v>
      </c>
      <c r="W244" s="107" t="e">
        <f t="shared" si="86"/>
        <v>#REF!</v>
      </c>
      <c r="X244" s="107" t="e">
        <f t="shared" si="86"/>
        <v>#REF!</v>
      </c>
      <c r="Y244" s="107" t="e">
        <f t="shared" si="86"/>
        <v>#REF!</v>
      </c>
      <c r="Z244" s="107" t="e">
        <f t="shared" si="86"/>
        <v>#REF!</v>
      </c>
      <c r="AA244" s="107" t="e">
        <f t="shared" si="86"/>
        <v>#REF!</v>
      </c>
      <c r="AB244" s="107" t="e">
        <f t="shared" si="86"/>
        <v>#REF!</v>
      </c>
      <c r="AC244" s="107" t="e">
        <f t="shared" si="86"/>
        <v>#REF!</v>
      </c>
      <c r="AD244" s="107" t="e">
        <f t="shared" si="86"/>
        <v>#REF!</v>
      </c>
      <c r="AE244" s="107" t="e">
        <f t="shared" si="86"/>
        <v>#REF!</v>
      </c>
      <c r="AF244" s="107" t="e">
        <f t="shared" si="86"/>
        <v>#REF!</v>
      </c>
      <c r="AG244" s="107" t="e">
        <f t="shared" si="86"/>
        <v>#REF!</v>
      </c>
      <c r="AH244" s="107" t="e">
        <f t="shared" si="86"/>
        <v>#REF!</v>
      </c>
      <c r="AI244" s="107" t="e">
        <f t="shared" si="86"/>
        <v>#REF!</v>
      </c>
      <c r="AJ244" s="107" t="e">
        <f t="shared" si="86"/>
        <v>#REF!</v>
      </c>
      <c r="AK244" s="107" t="e">
        <f t="shared" ref="AK244:BB244" si="87">(1/adDeflFin)^(1/adProjIteration)-1</f>
        <v>#REF!</v>
      </c>
      <c r="AL244" s="107" t="e">
        <f t="shared" si="87"/>
        <v>#REF!</v>
      </c>
      <c r="AM244" s="107" t="e">
        <f t="shared" si="87"/>
        <v>#REF!</v>
      </c>
      <c r="AN244" s="107" t="e">
        <f t="shared" si="87"/>
        <v>#REF!</v>
      </c>
      <c r="AO244" s="107" t="e">
        <f t="shared" si="87"/>
        <v>#REF!</v>
      </c>
      <c r="AP244" s="107" t="e">
        <f t="shared" si="87"/>
        <v>#REF!</v>
      </c>
      <c r="AQ244" s="107" t="e">
        <f t="shared" si="87"/>
        <v>#REF!</v>
      </c>
      <c r="AR244" s="107" t="e">
        <f t="shared" si="87"/>
        <v>#REF!</v>
      </c>
      <c r="AS244" s="107" t="e">
        <f t="shared" si="87"/>
        <v>#REF!</v>
      </c>
      <c r="AT244" s="107" t="e">
        <f t="shared" si="87"/>
        <v>#REF!</v>
      </c>
      <c r="AU244" s="107" t="e">
        <f t="shared" si="87"/>
        <v>#REF!</v>
      </c>
      <c r="AV244" s="107" t="e">
        <f t="shared" si="87"/>
        <v>#REF!</v>
      </c>
      <c r="AW244" s="107" t="e">
        <f t="shared" si="87"/>
        <v>#REF!</v>
      </c>
      <c r="AX244" s="107" t="e">
        <f t="shared" si="87"/>
        <v>#REF!</v>
      </c>
      <c r="AY244" s="107" t="e">
        <f t="shared" si="87"/>
        <v>#REF!</v>
      </c>
      <c r="AZ244" s="107" t="e">
        <f t="shared" si="87"/>
        <v>#REF!</v>
      </c>
      <c r="BA244" s="107" t="e">
        <f t="shared" si="87"/>
        <v>#REF!</v>
      </c>
      <c r="BB244" s="107" t="e">
        <f t="shared" si="87"/>
        <v>#REF!</v>
      </c>
    </row>
    <row r="245" spans="1:54" ht="16.5" x14ac:dyDescent="0.3">
      <c r="B245" s="98"/>
      <c r="C245" s="108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</row>
    <row r="247" spans="1:54" ht="16.5" x14ac:dyDescent="0.3">
      <c r="A247" s="1"/>
      <c r="B247" s="110" t="s">
        <v>198</v>
      </c>
      <c r="C247" s="111"/>
      <c r="D247" s="112">
        <v>0</v>
      </c>
      <c r="E247" s="112">
        <v>1</v>
      </c>
      <c r="F247" s="112">
        <v>2</v>
      </c>
      <c r="G247" s="112">
        <v>3</v>
      </c>
      <c r="H247" s="112">
        <v>4</v>
      </c>
      <c r="I247" s="112">
        <v>5</v>
      </c>
      <c r="J247" s="112">
        <v>6</v>
      </c>
      <c r="K247" s="112">
        <v>7</v>
      </c>
      <c r="L247" s="112">
        <v>8</v>
      </c>
      <c r="M247" s="112">
        <v>9</v>
      </c>
      <c r="N247" s="112">
        <v>10</v>
      </c>
      <c r="O247" s="112">
        <v>11</v>
      </c>
      <c r="P247" s="112">
        <v>12</v>
      </c>
      <c r="Q247" s="112">
        <v>13</v>
      </c>
      <c r="R247" s="112">
        <v>14</v>
      </c>
      <c r="S247" s="112">
        <v>15</v>
      </c>
      <c r="T247" s="112">
        <v>16</v>
      </c>
      <c r="U247" s="112">
        <v>17</v>
      </c>
      <c r="V247" s="112">
        <v>18</v>
      </c>
      <c r="W247" s="112">
        <v>19</v>
      </c>
      <c r="X247" s="112">
        <v>20</v>
      </c>
      <c r="Y247" s="112">
        <v>21</v>
      </c>
      <c r="Z247" s="112">
        <v>22</v>
      </c>
      <c r="AA247" s="112">
        <v>23</v>
      </c>
      <c r="AB247" s="112">
        <v>24</v>
      </c>
      <c r="AC247" s="112">
        <v>25</v>
      </c>
      <c r="AD247" s="112">
        <v>26</v>
      </c>
      <c r="AE247" s="112">
        <v>27</v>
      </c>
      <c r="AF247" s="112">
        <v>28</v>
      </c>
      <c r="AG247" s="112">
        <v>29</v>
      </c>
      <c r="AH247" s="112">
        <v>30</v>
      </c>
      <c r="AI247" s="112">
        <v>31</v>
      </c>
      <c r="AJ247" s="112">
        <v>32</v>
      </c>
      <c r="AK247" s="112">
        <v>33</v>
      </c>
      <c r="AL247" s="112">
        <v>34</v>
      </c>
      <c r="AM247" s="112">
        <v>35</v>
      </c>
      <c r="AN247" s="112">
        <v>36</v>
      </c>
      <c r="AO247" s="112">
        <v>37</v>
      </c>
      <c r="AP247" s="112">
        <v>38</v>
      </c>
      <c r="AQ247" s="112">
        <v>39</v>
      </c>
      <c r="AR247" s="112">
        <v>40</v>
      </c>
      <c r="AS247" s="112">
        <v>41</v>
      </c>
      <c r="AT247" s="112">
        <v>42</v>
      </c>
      <c r="AU247" s="112">
        <v>43</v>
      </c>
      <c r="AV247" s="112">
        <v>44</v>
      </c>
      <c r="AW247" s="112">
        <v>45</v>
      </c>
      <c r="AX247" s="112">
        <v>46</v>
      </c>
      <c r="AY247" s="112">
        <v>47</v>
      </c>
      <c r="AZ247" s="112">
        <v>48</v>
      </c>
      <c r="BA247" s="112">
        <v>49</v>
      </c>
      <c r="BB247" s="113">
        <v>50</v>
      </c>
    </row>
    <row r="248" spans="1:54" ht="16.5" x14ac:dyDescent="0.3">
      <c r="B248" s="111"/>
      <c r="C248" s="114" t="s">
        <v>199</v>
      </c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</row>
    <row r="249" spans="1:54" ht="16.5" x14ac:dyDescent="0.3">
      <c r="B249" s="111"/>
      <c r="C249" s="116" t="s">
        <v>200</v>
      </c>
      <c r="D249" s="115" t="e">
        <f ca="1">OFFSET(adPmFin,0,adProjHorizon)*OFFSET(adDeflFin,0,adProjHorizon)</f>
        <v>#REF!</v>
      </c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</row>
    <row r="250" spans="1:54" ht="16.5" x14ac:dyDescent="0.3">
      <c r="B250" s="111"/>
      <c r="C250" s="116" t="s">
        <v>201</v>
      </c>
      <c r="D250" s="115" t="e">
        <f ca="1">OFFSET(adBilanPpb,0,adProjHorizon)*OFFSET(adDeflFin,0,adProjHorizon)</f>
        <v>#REF!</v>
      </c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</row>
    <row r="251" spans="1:54" ht="16.5" x14ac:dyDescent="0.3">
      <c r="B251" s="111"/>
      <c r="C251" s="116" t="s">
        <v>202</v>
      </c>
      <c r="D251" s="117" t="e">
        <f>SUM(E251:BB251)</f>
        <v>#REF!</v>
      </c>
      <c r="E251" s="117" t="e">
        <f t="shared" ref="E251:AJ251" si="88">adPrstArrNet*adDeflDebut</f>
        <v>#REF!</v>
      </c>
      <c r="F251" s="117" t="e">
        <f t="shared" si="88"/>
        <v>#REF!</v>
      </c>
      <c r="G251" s="117" t="e">
        <f t="shared" si="88"/>
        <v>#REF!</v>
      </c>
      <c r="H251" s="117" t="e">
        <f t="shared" si="88"/>
        <v>#REF!</v>
      </c>
      <c r="I251" s="117" t="e">
        <f t="shared" si="88"/>
        <v>#REF!</v>
      </c>
      <c r="J251" s="117" t="e">
        <f t="shared" si="88"/>
        <v>#REF!</v>
      </c>
      <c r="K251" s="117" t="e">
        <f t="shared" si="88"/>
        <v>#REF!</v>
      </c>
      <c r="L251" s="117" t="e">
        <f t="shared" si="88"/>
        <v>#REF!</v>
      </c>
      <c r="M251" s="117" t="e">
        <f t="shared" si="88"/>
        <v>#REF!</v>
      </c>
      <c r="N251" s="117" t="e">
        <f t="shared" si="88"/>
        <v>#REF!</v>
      </c>
      <c r="O251" s="117" t="e">
        <f t="shared" si="88"/>
        <v>#REF!</v>
      </c>
      <c r="P251" s="117" t="e">
        <f t="shared" si="88"/>
        <v>#REF!</v>
      </c>
      <c r="Q251" s="117" t="e">
        <f t="shared" si="88"/>
        <v>#REF!</v>
      </c>
      <c r="R251" s="117" t="e">
        <f t="shared" si="88"/>
        <v>#REF!</v>
      </c>
      <c r="S251" s="117" t="e">
        <f t="shared" si="88"/>
        <v>#REF!</v>
      </c>
      <c r="T251" s="117" t="e">
        <f t="shared" si="88"/>
        <v>#REF!</v>
      </c>
      <c r="U251" s="117" t="e">
        <f t="shared" si="88"/>
        <v>#REF!</v>
      </c>
      <c r="V251" s="117" t="e">
        <f t="shared" si="88"/>
        <v>#REF!</v>
      </c>
      <c r="W251" s="117" t="e">
        <f t="shared" si="88"/>
        <v>#REF!</v>
      </c>
      <c r="X251" s="117" t="e">
        <f t="shared" si="88"/>
        <v>#REF!</v>
      </c>
      <c r="Y251" s="117" t="e">
        <f t="shared" si="88"/>
        <v>#REF!</v>
      </c>
      <c r="Z251" s="117" t="e">
        <f t="shared" si="88"/>
        <v>#REF!</v>
      </c>
      <c r="AA251" s="117" t="e">
        <f t="shared" si="88"/>
        <v>#REF!</v>
      </c>
      <c r="AB251" s="117" t="e">
        <f t="shared" si="88"/>
        <v>#REF!</v>
      </c>
      <c r="AC251" s="117" t="e">
        <f t="shared" si="88"/>
        <v>#REF!</v>
      </c>
      <c r="AD251" s="117" t="e">
        <f t="shared" si="88"/>
        <v>#REF!</v>
      </c>
      <c r="AE251" s="117" t="e">
        <f t="shared" si="88"/>
        <v>#REF!</v>
      </c>
      <c r="AF251" s="117" t="e">
        <f t="shared" si="88"/>
        <v>#REF!</v>
      </c>
      <c r="AG251" s="117" t="e">
        <f t="shared" si="88"/>
        <v>#REF!</v>
      </c>
      <c r="AH251" s="117" t="e">
        <f t="shared" si="88"/>
        <v>#REF!</v>
      </c>
      <c r="AI251" s="117" t="e">
        <f t="shared" si="88"/>
        <v>#REF!</v>
      </c>
      <c r="AJ251" s="117" t="e">
        <f t="shared" si="88"/>
        <v>#REF!</v>
      </c>
      <c r="AK251" s="117" t="e">
        <f t="shared" ref="AK251:BB251" si="89">adPrstArrNet*adDeflDebut</f>
        <v>#REF!</v>
      </c>
      <c r="AL251" s="117" t="e">
        <f t="shared" si="89"/>
        <v>#REF!</v>
      </c>
      <c r="AM251" s="117" t="e">
        <f t="shared" si="89"/>
        <v>#REF!</v>
      </c>
      <c r="AN251" s="117" t="e">
        <f t="shared" si="89"/>
        <v>#REF!</v>
      </c>
      <c r="AO251" s="117" t="e">
        <f t="shared" si="89"/>
        <v>#REF!</v>
      </c>
      <c r="AP251" s="117" t="e">
        <f t="shared" si="89"/>
        <v>#REF!</v>
      </c>
      <c r="AQ251" s="117" t="e">
        <f t="shared" si="89"/>
        <v>#REF!</v>
      </c>
      <c r="AR251" s="117" t="e">
        <f t="shared" si="89"/>
        <v>#REF!</v>
      </c>
      <c r="AS251" s="117" t="e">
        <f t="shared" si="89"/>
        <v>#REF!</v>
      </c>
      <c r="AT251" s="117" t="e">
        <f t="shared" si="89"/>
        <v>#REF!</v>
      </c>
      <c r="AU251" s="117" t="e">
        <f t="shared" si="89"/>
        <v>#REF!</v>
      </c>
      <c r="AV251" s="117" t="e">
        <f t="shared" si="89"/>
        <v>#REF!</v>
      </c>
      <c r="AW251" s="117" t="e">
        <f t="shared" si="89"/>
        <v>#REF!</v>
      </c>
      <c r="AX251" s="117" t="e">
        <f t="shared" si="89"/>
        <v>#REF!</v>
      </c>
      <c r="AY251" s="117" t="e">
        <f t="shared" si="89"/>
        <v>#REF!</v>
      </c>
      <c r="AZ251" s="117" t="e">
        <f t="shared" si="89"/>
        <v>#REF!</v>
      </c>
      <c r="BA251" s="117" t="e">
        <f t="shared" si="89"/>
        <v>#REF!</v>
      </c>
      <c r="BB251" s="117" t="e">
        <f t="shared" si="89"/>
        <v>#REF!</v>
      </c>
    </row>
    <row r="252" spans="1:54" ht="16.5" x14ac:dyDescent="0.3">
      <c r="B252" s="111"/>
      <c r="C252" s="116" t="s">
        <v>203</v>
      </c>
      <c r="D252" s="117" t="e">
        <f t="shared" ref="D252:D256" si="90">SUM(E252:BB252)</f>
        <v>#REF!</v>
      </c>
      <c r="E252" s="117" t="e">
        <f t="shared" ref="E252:AJ252" si="91">adPrstDcNet*adDeflDebut</f>
        <v>#REF!</v>
      </c>
      <c r="F252" s="117" t="e">
        <f t="shared" si="91"/>
        <v>#REF!</v>
      </c>
      <c r="G252" s="117" t="e">
        <f t="shared" si="91"/>
        <v>#REF!</v>
      </c>
      <c r="H252" s="117" t="e">
        <f t="shared" si="91"/>
        <v>#REF!</v>
      </c>
      <c r="I252" s="117" t="e">
        <f t="shared" si="91"/>
        <v>#REF!</v>
      </c>
      <c r="J252" s="117" t="e">
        <f t="shared" si="91"/>
        <v>#REF!</v>
      </c>
      <c r="K252" s="117" t="e">
        <f t="shared" si="91"/>
        <v>#REF!</v>
      </c>
      <c r="L252" s="117" t="e">
        <f t="shared" si="91"/>
        <v>#REF!</v>
      </c>
      <c r="M252" s="117" t="e">
        <f t="shared" si="91"/>
        <v>#REF!</v>
      </c>
      <c r="N252" s="117" t="e">
        <f t="shared" si="91"/>
        <v>#REF!</v>
      </c>
      <c r="O252" s="117" t="e">
        <f t="shared" si="91"/>
        <v>#REF!</v>
      </c>
      <c r="P252" s="117" t="e">
        <f t="shared" si="91"/>
        <v>#REF!</v>
      </c>
      <c r="Q252" s="117" t="e">
        <f t="shared" si="91"/>
        <v>#REF!</v>
      </c>
      <c r="R252" s="117" t="e">
        <f t="shared" si="91"/>
        <v>#REF!</v>
      </c>
      <c r="S252" s="117" t="e">
        <f t="shared" si="91"/>
        <v>#REF!</v>
      </c>
      <c r="T252" s="117" t="e">
        <f t="shared" si="91"/>
        <v>#REF!</v>
      </c>
      <c r="U252" s="117" t="e">
        <f t="shared" si="91"/>
        <v>#REF!</v>
      </c>
      <c r="V252" s="117" t="e">
        <f t="shared" si="91"/>
        <v>#REF!</v>
      </c>
      <c r="W252" s="117" t="e">
        <f t="shared" si="91"/>
        <v>#REF!</v>
      </c>
      <c r="X252" s="117" t="e">
        <f t="shared" si="91"/>
        <v>#REF!</v>
      </c>
      <c r="Y252" s="117" t="e">
        <f t="shared" si="91"/>
        <v>#REF!</v>
      </c>
      <c r="Z252" s="117" t="e">
        <f t="shared" si="91"/>
        <v>#REF!</v>
      </c>
      <c r="AA252" s="117" t="e">
        <f t="shared" si="91"/>
        <v>#REF!</v>
      </c>
      <c r="AB252" s="117" t="e">
        <f t="shared" si="91"/>
        <v>#REF!</v>
      </c>
      <c r="AC252" s="117" t="e">
        <f t="shared" si="91"/>
        <v>#REF!</v>
      </c>
      <c r="AD252" s="117" t="e">
        <f t="shared" si="91"/>
        <v>#REF!</v>
      </c>
      <c r="AE252" s="117" t="e">
        <f t="shared" si="91"/>
        <v>#REF!</v>
      </c>
      <c r="AF252" s="117" t="e">
        <f t="shared" si="91"/>
        <v>#REF!</v>
      </c>
      <c r="AG252" s="117" t="e">
        <f t="shared" si="91"/>
        <v>#REF!</v>
      </c>
      <c r="AH252" s="117" t="e">
        <f t="shared" si="91"/>
        <v>#REF!</v>
      </c>
      <c r="AI252" s="117" t="e">
        <f t="shared" si="91"/>
        <v>#REF!</v>
      </c>
      <c r="AJ252" s="117" t="e">
        <f t="shared" si="91"/>
        <v>#REF!</v>
      </c>
      <c r="AK252" s="117" t="e">
        <f t="shared" ref="AK252:BB252" si="92">adPrstDcNet*adDeflDebut</f>
        <v>#REF!</v>
      </c>
      <c r="AL252" s="117" t="e">
        <f t="shared" si="92"/>
        <v>#REF!</v>
      </c>
      <c r="AM252" s="117" t="e">
        <f t="shared" si="92"/>
        <v>#REF!</v>
      </c>
      <c r="AN252" s="117" t="e">
        <f t="shared" si="92"/>
        <v>#REF!</v>
      </c>
      <c r="AO252" s="117" t="e">
        <f t="shared" si="92"/>
        <v>#REF!</v>
      </c>
      <c r="AP252" s="117" t="e">
        <f t="shared" si="92"/>
        <v>#REF!</v>
      </c>
      <c r="AQ252" s="117" t="e">
        <f t="shared" si="92"/>
        <v>#REF!</v>
      </c>
      <c r="AR252" s="117" t="e">
        <f t="shared" si="92"/>
        <v>#REF!</v>
      </c>
      <c r="AS252" s="117" t="e">
        <f t="shared" si="92"/>
        <v>#REF!</v>
      </c>
      <c r="AT252" s="117" t="e">
        <f t="shared" si="92"/>
        <v>#REF!</v>
      </c>
      <c r="AU252" s="117" t="e">
        <f t="shared" si="92"/>
        <v>#REF!</v>
      </c>
      <c r="AV252" s="117" t="e">
        <f t="shared" si="92"/>
        <v>#REF!</v>
      </c>
      <c r="AW252" s="117" t="e">
        <f t="shared" si="92"/>
        <v>#REF!</v>
      </c>
      <c r="AX252" s="117" t="e">
        <f t="shared" si="92"/>
        <v>#REF!</v>
      </c>
      <c r="AY252" s="117" t="e">
        <f t="shared" si="92"/>
        <v>#REF!</v>
      </c>
      <c r="AZ252" s="117" t="e">
        <f t="shared" si="92"/>
        <v>#REF!</v>
      </c>
      <c r="BA252" s="117" t="e">
        <f t="shared" si="92"/>
        <v>#REF!</v>
      </c>
      <c r="BB252" s="117" t="e">
        <f t="shared" si="92"/>
        <v>#REF!</v>
      </c>
    </row>
    <row r="253" spans="1:54" ht="16.5" x14ac:dyDescent="0.3">
      <c r="B253" s="111"/>
      <c r="C253" s="116" t="s">
        <v>204</v>
      </c>
      <c r="D253" s="117" t="e">
        <f t="shared" si="90"/>
        <v>#REF!</v>
      </c>
      <c r="E253" s="117" t="e">
        <f t="shared" ref="E253:AJ253" si="93">adPrstRtNet*adDeflDebut</f>
        <v>#REF!</v>
      </c>
      <c r="F253" s="117" t="e">
        <f t="shared" si="93"/>
        <v>#REF!</v>
      </c>
      <c r="G253" s="117" t="e">
        <f t="shared" si="93"/>
        <v>#REF!</v>
      </c>
      <c r="H253" s="117" t="e">
        <f t="shared" si="93"/>
        <v>#REF!</v>
      </c>
      <c r="I253" s="117" t="e">
        <f t="shared" si="93"/>
        <v>#REF!</v>
      </c>
      <c r="J253" s="117" t="e">
        <f t="shared" si="93"/>
        <v>#REF!</v>
      </c>
      <c r="K253" s="117" t="e">
        <f t="shared" si="93"/>
        <v>#REF!</v>
      </c>
      <c r="L253" s="117" t="e">
        <f t="shared" si="93"/>
        <v>#REF!</v>
      </c>
      <c r="M253" s="117" t="e">
        <f t="shared" si="93"/>
        <v>#REF!</v>
      </c>
      <c r="N253" s="117" t="e">
        <f t="shared" si="93"/>
        <v>#REF!</v>
      </c>
      <c r="O253" s="117" t="e">
        <f t="shared" si="93"/>
        <v>#REF!</v>
      </c>
      <c r="P253" s="117" t="e">
        <f t="shared" si="93"/>
        <v>#REF!</v>
      </c>
      <c r="Q253" s="117" t="e">
        <f t="shared" si="93"/>
        <v>#REF!</v>
      </c>
      <c r="R253" s="117" t="e">
        <f t="shared" si="93"/>
        <v>#REF!</v>
      </c>
      <c r="S253" s="117" t="e">
        <f t="shared" si="93"/>
        <v>#REF!</v>
      </c>
      <c r="T253" s="117" t="e">
        <f t="shared" si="93"/>
        <v>#REF!</v>
      </c>
      <c r="U253" s="117" t="e">
        <f t="shared" si="93"/>
        <v>#REF!</v>
      </c>
      <c r="V253" s="117" t="e">
        <f t="shared" si="93"/>
        <v>#REF!</v>
      </c>
      <c r="W253" s="117" t="e">
        <f t="shared" si="93"/>
        <v>#REF!</v>
      </c>
      <c r="X253" s="117" t="e">
        <f t="shared" si="93"/>
        <v>#REF!</v>
      </c>
      <c r="Y253" s="117" t="e">
        <f t="shared" si="93"/>
        <v>#REF!</v>
      </c>
      <c r="Z253" s="117" t="e">
        <f t="shared" si="93"/>
        <v>#REF!</v>
      </c>
      <c r="AA253" s="117" t="e">
        <f t="shared" si="93"/>
        <v>#REF!</v>
      </c>
      <c r="AB253" s="117" t="e">
        <f t="shared" si="93"/>
        <v>#REF!</v>
      </c>
      <c r="AC253" s="117" t="e">
        <f t="shared" si="93"/>
        <v>#REF!</v>
      </c>
      <c r="AD253" s="117" t="e">
        <f t="shared" si="93"/>
        <v>#REF!</v>
      </c>
      <c r="AE253" s="117" t="e">
        <f t="shared" si="93"/>
        <v>#REF!</v>
      </c>
      <c r="AF253" s="117" t="e">
        <f t="shared" si="93"/>
        <v>#REF!</v>
      </c>
      <c r="AG253" s="117" t="e">
        <f t="shared" si="93"/>
        <v>#REF!</v>
      </c>
      <c r="AH253" s="117" t="e">
        <f t="shared" si="93"/>
        <v>#REF!</v>
      </c>
      <c r="AI253" s="117" t="e">
        <f t="shared" si="93"/>
        <v>#REF!</v>
      </c>
      <c r="AJ253" s="117" t="e">
        <f t="shared" si="93"/>
        <v>#REF!</v>
      </c>
      <c r="AK253" s="117" t="e">
        <f t="shared" ref="AK253:BB253" si="94">adPrstRtNet*adDeflDebut</f>
        <v>#REF!</v>
      </c>
      <c r="AL253" s="117" t="e">
        <f t="shared" si="94"/>
        <v>#REF!</v>
      </c>
      <c r="AM253" s="117" t="e">
        <f t="shared" si="94"/>
        <v>#REF!</v>
      </c>
      <c r="AN253" s="117" t="e">
        <f t="shared" si="94"/>
        <v>#REF!</v>
      </c>
      <c r="AO253" s="117" t="e">
        <f t="shared" si="94"/>
        <v>#REF!</v>
      </c>
      <c r="AP253" s="117" t="e">
        <f t="shared" si="94"/>
        <v>#REF!</v>
      </c>
      <c r="AQ253" s="117" t="e">
        <f t="shared" si="94"/>
        <v>#REF!</v>
      </c>
      <c r="AR253" s="117" t="e">
        <f t="shared" si="94"/>
        <v>#REF!</v>
      </c>
      <c r="AS253" s="117" t="e">
        <f t="shared" si="94"/>
        <v>#REF!</v>
      </c>
      <c r="AT253" s="117" t="e">
        <f t="shared" si="94"/>
        <v>#REF!</v>
      </c>
      <c r="AU253" s="117" t="e">
        <f t="shared" si="94"/>
        <v>#REF!</v>
      </c>
      <c r="AV253" s="117" t="e">
        <f t="shared" si="94"/>
        <v>#REF!</v>
      </c>
      <c r="AW253" s="117" t="e">
        <f t="shared" si="94"/>
        <v>#REF!</v>
      </c>
      <c r="AX253" s="117" t="e">
        <f t="shared" si="94"/>
        <v>#REF!</v>
      </c>
      <c r="AY253" s="117" t="e">
        <f t="shared" si="94"/>
        <v>#REF!</v>
      </c>
      <c r="AZ253" s="117" t="e">
        <f t="shared" si="94"/>
        <v>#REF!</v>
      </c>
      <c r="BA253" s="117" t="e">
        <f t="shared" si="94"/>
        <v>#REF!</v>
      </c>
      <c r="BB253" s="117" t="e">
        <f t="shared" si="94"/>
        <v>#REF!</v>
      </c>
    </row>
    <row r="254" spans="1:54" ht="16.5" x14ac:dyDescent="0.3">
      <c r="B254" s="111"/>
      <c r="C254" s="116" t="s">
        <v>182</v>
      </c>
      <c r="D254" s="117" t="e">
        <f t="shared" si="90"/>
        <v>#REF!</v>
      </c>
      <c r="E254" s="117" t="e">
        <f t="shared" ref="E254:AJ254" si="95">adFgxPm*adDeflDebut</f>
        <v>#REF!</v>
      </c>
      <c r="F254" s="117" t="e">
        <f t="shared" si="95"/>
        <v>#REF!</v>
      </c>
      <c r="G254" s="117" t="e">
        <f t="shared" si="95"/>
        <v>#REF!</v>
      </c>
      <c r="H254" s="117" t="e">
        <f t="shared" si="95"/>
        <v>#REF!</v>
      </c>
      <c r="I254" s="117" t="e">
        <f t="shared" si="95"/>
        <v>#REF!</v>
      </c>
      <c r="J254" s="117" t="e">
        <f t="shared" si="95"/>
        <v>#REF!</v>
      </c>
      <c r="K254" s="117" t="e">
        <f t="shared" si="95"/>
        <v>#REF!</v>
      </c>
      <c r="L254" s="117" t="e">
        <f t="shared" si="95"/>
        <v>#REF!</v>
      </c>
      <c r="M254" s="117" t="e">
        <f t="shared" si="95"/>
        <v>#REF!</v>
      </c>
      <c r="N254" s="117" t="e">
        <f t="shared" si="95"/>
        <v>#REF!</v>
      </c>
      <c r="O254" s="117" t="e">
        <f t="shared" si="95"/>
        <v>#REF!</v>
      </c>
      <c r="P254" s="117" t="e">
        <f t="shared" si="95"/>
        <v>#REF!</v>
      </c>
      <c r="Q254" s="117" t="e">
        <f t="shared" si="95"/>
        <v>#REF!</v>
      </c>
      <c r="R254" s="117" t="e">
        <f t="shared" si="95"/>
        <v>#REF!</v>
      </c>
      <c r="S254" s="117" t="e">
        <f t="shared" si="95"/>
        <v>#REF!</v>
      </c>
      <c r="T254" s="117" t="e">
        <f t="shared" si="95"/>
        <v>#REF!</v>
      </c>
      <c r="U254" s="117" t="e">
        <f t="shared" si="95"/>
        <v>#REF!</v>
      </c>
      <c r="V254" s="117" t="e">
        <f t="shared" si="95"/>
        <v>#REF!</v>
      </c>
      <c r="W254" s="117" t="e">
        <f t="shared" si="95"/>
        <v>#REF!</v>
      </c>
      <c r="X254" s="117" t="e">
        <f t="shared" si="95"/>
        <v>#REF!</v>
      </c>
      <c r="Y254" s="117" t="e">
        <f t="shared" si="95"/>
        <v>#REF!</v>
      </c>
      <c r="Z254" s="117" t="e">
        <f t="shared" si="95"/>
        <v>#REF!</v>
      </c>
      <c r="AA254" s="117" t="e">
        <f t="shared" si="95"/>
        <v>#REF!</v>
      </c>
      <c r="AB254" s="117" t="e">
        <f t="shared" si="95"/>
        <v>#REF!</v>
      </c>
      <c r="AC254" s="117" t="e">
        <f t="shared" si="95"/>
        <v>#REF!</v>
      </c>
      <c r="AD254" s="117" t="e">
        <f t="shared" si="95"/>
        <v>#REF!</v>
      </c>
      <c r="AE254" s="117" t="e">
        <f t="shared" si="95"/>
        <v>#REF!</v>
      </c>
      <c r="AF254" s="117" t="e">
        <f t="shared" si="95"/>
        <v>#REF!</v>
      </c>
      <c r="AG254" s="117" t="e">
        <f t="shared" si="95"/>
        <v>#REF!</v>
      </c>
      <c r="AH254" s="117" t="e">
        <f t="shared" si="95"/>
        <v>#REF!</v>
      </c>
      <c r="AI254" s="117" t="e">
        <f t="shared" si="95"/>
        <v>#REF!</v>
      </c>
      <c r="AJ254" s="117" t="e">
        <f t="shared" si="95"/>
        <v>#REF!</v>
      </c>
      <c r="AK254" s="117" t="e">
        <f t="shared" ref="AK254:BB254" si="96">adFgxPm*adDeflDebut</f>
        <v>#REF!</v>
      </c>
      <c r="AL254" s="117" t="e">
        <f t="shared" si="96"/>
        <v>#REF!</v>
      </c>
      <c r="AM254" s="117" t="e">
        <f t="shared" si="96"/>
        <v>#REF!</v>
      </c>
      <c r="AN254" s="117" t="e">
        <f t="shared" si="96"/>
        <v>#REF!</v>
      </c>
      <c r="AO254" s="117" t="e">
        <f t="shared" si="96"/>
        <v>#REF!</v>
      </c>
      <c r="AP254" s="117" t="e">
        <f t="shared" si="96"/>
        <v>#REF!</v>
      </c>
      <c r="AQ254" s="117" t="e">
        <f t="shared" si="96"/>
        <v>#REF!</v>
      </c>
      <c r="AR254" s="117" t="e">
        <f t="shared" si="96"/>
        <v>#REF!</v>
      </c>
      <c r="AS254" s="117" t="e">
        <f t="shared" si="96"/>
        <v>#REF!</v>
      </c>
      <c r="AT254" s="117" t="e">
        <f t="shared" si="96"/>
        <v>#REF!</v>
      </c>
      <c r="AU254" s="117" t="e">
        <f t="shared" si="96"/>
        <v>#REF!</v>
      </c>
      <c r="AV254" s="117" t="e">
        <f t="shared" si="96"/>
        <v>#REF!</v>
      </c>
      <c r="AW254" s="117" t="e">
        <f t="shared" si="96"/>
        <v>#REF!</v>
      </c>
      <c r="AX254" s="117" t="e">
        <f t="shared" si="96"/>
        <v>#REF!</v>
      </c>
      <c r="AY254" s="117" t="e">
        <f t="shared" si="96"/>
        <v>#REF!</v>
      </c>
      <c r="AZ254" s="117" t="e">
        <f t="shared" si="96"/>
        <v>#REF!</v>
      </c>
      <c r="BA254" s="117" t="e">
        <f t="shared" si="96"/>
        <v>#REF!</v>
      </c>
      <c r="BB254" s="117" t="e">
        <f t="shared" si="96"/>
        <v>#REF!</v>
      </c>
    </row>
    <row r="255" spans="1:54" ht="16.5" x14ac:dyDescent="0.3">
      <c r="B255" s="111"/>
      <c r="C255" s="116" t="s">
        <v>205</v>
      </c>
      <c r="D255" s="117" t="e">
        <f>SUM(E255:BB255)</f>
        <v>#REF!</v>
      </c>
      <c r="E255" s="117" t="e">
        <f t="shared" ref="E255:AJ255" si="97">adFgxPrst*adDeflDebut</f>
        <v>#REF!</v>
      </c>
      <c r="F255" s="117" t="e">
        <f t="shared" si="97"/>
        <v>#REF!</v>
      </c>
      <c r="G255" s="117" t="e">
        <f t="shared" si="97"/>
        <v>#REF!</v>
      </c>
      <c r="H255" s="117" t="e">
        <f t="shared" si="97"/>
        <v>#REF!</v>
      </c>
      <c r="I255" s="117" t="e">
        <f t="shared" si="97"/>
        <v>#REF!</v>
      </c>
      <c r="J255" s="117" t="e">
        <f t="shared" si="97"/>
        <v>#REF!</v>
      </c>
      <c r="K255" s="117" t="e">
        <f t="shared" si="97"/>
        <v>#REF!</v>
      </c>
      <c r="L255" s="117" t="e">
        <f t="shared" si="97"/>
        <v>#REF!</v>
      </c>
      <c r="M255" s="117" t="e">
        <f t="shared" si="97"/>
        <v>#REF!</v>
      </c>
      <c r="N255" s="117" t="e">
        <f t="shared" si="97"/>
        <v>#REF!</v>
      </c>
      <c r="O255" s="117" t="e">
        <f t="shared" si="97"/>
        <v>#REF!</v>
      </c>
      <c r="P255" s="117" t="e">
        <f t="shared" si="97"/>
        <v>#REF!</v>
      </c>
      <c r="Q255" s="117" t="e">
        <f t="shared" si="97"/>
        <v>#REF!</v>
      </c>
      <c r="R255" s="117" t="e">
        <f t="shared" si="97"/>
        <v>#REF!</v>
      </c>
      <c r="S255" s="117" t="e">
        <f t="shared" si="97"/>
        <v>#REF!</v>
      </c>
      <c r="T255" s="117" t="e">
        <f t="shared" si="97"/>
        <v>#REF!</v>
      </c>
      <c r="U255" s="117" t="e">
        <f t="shared" si="97"/>
        <v>#REF!</v>
      </c>
      <c r="V255" s="117" t="e">
        <f t="shared" si="97"/>
        <v>#REF!</v>
      </c>
      <c r="W255" s="117" t="e">
        <f t="shared" si="97"/>
        <v>#REF!</v>
      </c>
      <c r="X255" s="117" t="e">
        <f t="shared" si="97"/>
        <v>#REF!</v>
      </c>
      <c r="Y255" s="117" t="e">
        <f t="shared" si="97"/>
        <v>#REF!</v>
      </c>
      <c r="Z255" s="117" t="e">
        <f t="shared" si="97"/>
        <v>#REF!</v>
      </c>
      <c r="AA255" s="117" t="e">
        <f t="shared" si="97"/>
        <v>#REF!</v>
      </c>
      <c r="AB255" s="117" t="e">
        <f t="shared" si="97"/>
        <v>#REF!</v>
      </c>
      <c r="AC255" s="117" t="e">
        <f t="shared" si="97"/>
        <v>#REF!</v>
      </c>
      <c r="AD255" s="117" t="e">
        <f t="shared" si="97"/>
        <v>#REF!</v>
      </c>
      <c r="AE255" s="117" t="e">
        <f t="shared" si="97"/>
        <v>#REF!</v>
      </c>
      <c r="AF255" s="117" t="e">
        <f t="shared" si="97"/>
        <v>#REF!</v>
      </c>
      <c r="AG255" s="117" t="e">
        <f t="shared" si="97"/>
        <v>#REF!</v>
      </c>
      <c r="AH255" s="117" t="e">
        <f t="shared" si="97"/>
        <v>#REF!</v>
      </c>
      <c r="AI255" s="117" t="e">
        <f t="shared" si="97"/>
        <v>#REF!</v>
      </c>
      <c r="AJ255" s="117" t="e">
        <f t="shared" si="97"/>
        <v>#REF!</v>
      </c>
      <c r="AK255" s="117" t="e">
        <f t="shared" ref="AK255:BB255" si="98">adFgxPrst*adDeflDebut</f>
        <v>#REF!</v>
      </c>
      <c r="AL255" s="117" t="e">
        <f t="shared" si="98"/>
        <v>#REF!</v>
      </c>
      <c r="AM255" s="117" t="e">
        <f t="shared" si="98"/>
        <v>#REF!</v>
      </c>
      <c r="AN255" s="117" t="e">
        <f t="shared" si="98"/>
        <v>#REF!</v>
      </c>
      <c r="AO255" s="117" t="e">
        <f t="shared" si="98"/>
        <v>#REF!</v>
      </c>
      <c r="AP255" s="117" t="e">
        <f t="shared" si="98"/>
        <v>#REF!</v>
      </c>
      <c r="AQ255" s="117" t="e">
        <f t="shared" si="98"/>
        <v>#REF!</v>
      </c>
      <c r="AR255" s="117" t="e">
        <f t="shared" si="98"/>
        <v>#REF!</v>
      </c>
      <c r="AS255" s="117" t="e">
        <f t="shared" si="98"/>
        <v>#REF!</v>
      </c>
      <c r="AT255" s="117" t="e">
        <f t="shared" si="98"/>
        <v>#REF!</v>
      </c>
      <c r="AU255" s="117" t="e">
        <f t="shared" si="98"/>
        <v>#REF!</v>
      </c>
      <c r="AV255" s="117" t="e">
        <f t="shared" si="98"/>
        <v>#REF!</v>
      </c>
      <c r="AW255" s="117" t="e">
        <f t="shared" si="98"/>
        <v>#REF!</v>
      </c>
      <c r="AX255" s="117" t="e">
        <f t="shared" si="98"/>
        <v>#REF!</v>
      </c>
      <c r="AY255" s="117" t="e">
        <f t="shared" si="98"/>
        <v>#REF!</v>
      </c>
      <c r="AZ255" s="117" t="e">
        <f t="shared" si="98"/>
        <v>#REF!</v>
      </c>
      <c r="BA255" s="117" t="e">
        <f t="shared" si="98"/>
        <v>#REF!</v>
      </c>
      <c r="BB255" s="117" t="e">
        <f t="shared" si="98"/>
        <v>#REF!</v>
      </c>
    </row>
    <row r="256" spans="1:54" ht="16.5" x14ac:dyDescent="0.3">
      <c r="B256" s="111"/>
      <c r="C256" s="116" t="s">
        <v>184</v>
      </c>
      <c r="D256" s="117" t="e">
        <f t="shared" si="90"/>
        <v>#REF!</v>
      </c>
      <c r="E256" s="117" t="e">
        <f t="shared" ref="E256:AJ256" si="99">adFgxPlct*adDeflFin</f>
        <v>#REF!</v>
      </c>
      <c r="F256" s="117" t="e">
        <f t="shared" si="99"/>
        <v>#REF!</v>
      </c>
      <c r="G256" s="117" t="e">
        <f t="shared" si="99"/>
        <v>#REF!</v>
      </c>
      <c r="H256" s="117" t="e">
        <f t="shared" si="99"/>
        <v>#REF!</v>
      </c>
      <c r="I256" s="117" t="e">
        <f t="shared" si="99"/>
        <v>#REF!</v>
      </c>
      <c r="J256" s="117" t="e">
        <f t="shared" si="99"/>
        <v>#REF!</v>
      </c>
      <c r="K256" s="117" t="e">
        <f t="shared" si="99"/>
        <v>#REF!</v>
      </c>
      <c r="L256" s="117" t="e">
        <f t="shared" si="99"/>
        <v>#REF!</v>
      </c>
      <c r="M256" s="117" t="e">
        <f t="shared" si="99"/>
        <v>#REF!</v>
      </c>
      <c r="N256" s="117" t="e">
        <f t="shared" si="99"/>
        <v>#REF!</v>
      </c>
      <c r="O256" s="117" t="e">
        <f t="shared" si="99"/>
        <v>#REF!</v>
      </c>
      <c r="P256" s="117" t="e">
        <f t="shared" si="99"/>
        <v>#REF!</v>
      </c>
      <c r="Q256" s="117" t="e">
        <f t="shared" si="99"/>
        <v>#REF!</v>
      </c>
      <c r="R256" s="117" t="e">
        <f t="shared" si="99"/>
        <v>#REF!</v>
      </c>
      <c r="S256" s="117" t="e">
        <f t="shared" si="99"/>
        <v>#REF!</v>
      </c>
      <c r="T256" s="117" t="e">
        <f t="shared" si="99"/>
        <v>#REF!</v>
      </c>
      <c r="U256" s="117" t="e">
        <f t="shared" si="99"/>
        <v>#REF!</v>
      </c>
      <c r="V256" s="117" t="e">
        <f t="shared" si="99"/>
        <v>#REF!</v>
      </c>
      <c r="W256" s="117" t="e">
        <f t="shared" si="99"/>
        <v>#REF!</v>
      </c>
      <c r="X256" s="117" t="e">
        <f t="shared" si="99"/>
        <v>#REF!</v>
      </c>
      <c r="Y256" s="117" t="e">
        <f t="shared" si="99"/>
        <v>#REF!</v>
      </c>
      <c r="Z256" s="117" t="e">
        <f t="shared" si="99"/>
        <v>#REF!</v>
      </c>
      <c r="AA256" s="117" t="e">
        <f t="shared" si="99"/>
        <v>#REF!</v>
      </c>
      <c r="AB256" s="117" t="e">
        <f t="shared" si="99"/>
        <v>#REF!</v>
      </c>
      <c r="AC256" s="117" t="e">
        <f t="shared" si="99"/>
        <v>#REF!</v>
      </c>
      <c r="AD256" s="117" t="e">
        <f t="shared" si="99"/>
        <v>#REF!</v>
      </c>
      <c r="AE256" s="117" t="e">
        <f t="shared" si="99"/>
        <v>#REF!</v>
      </c>
      <c r="AF256" s="117" t="e">
        <f t="shared" si="99"/>
        <v>#REF!</v>
      </c>
      <c r="AG256" s="117" t="e">
        <f t="shared" si="99"/>
        <v>#REF!</v>
      </c>
      <c r="AH256" s="117" t="e">
        <f t="shared" si="99"/>
        <v>#REF!</v>
      </c>
      <c r="AI256" s="117" t="e">
        <f t="shared" si="99"/>
        <v>#REF!</v>
      </c>
      <c r="AJ256" s="117" t="e">
        <f t="shared" si="99"/>
        <v>#REF!</v>
      </c>
      <c r="AK256" s="117" t="e">
        <f t="shared" ref="AK256:BB256" si="100">adFgxPlct*adDeflFin</f>
        <v>#REF!</v>
      </c>
      <c r="AL256" s="117" t="e">
        <f t="shared" si="100"/>
        <v>#REF!</v>
      </c>
      <c r="AM256" s="117" t="e">
        <f t="shared" si="100"/>
        <v>#REF!</v>
      </c>
      <c r="AN256" s="117" t="e">
        <f t="shared" si="100"/>
        <v>#REF!</v>
      </c>
      <c r="AO256" s="117" t="e">
        <f t="shared" si="100"/>
        <v>#REF!</v>
      </c>
      <c r="AP256" s="117" t="e">
        <f t="shared" si="100"/>
        <v>#REF!</v>
      </c>
      <c r="AQ256" s="117" t="e">
        <f t="shared" si="100"/>
        <v>#REF!</v>
      </c>
      <c r="AR256" s="117" t="e">
        <f t="shared" si="100"/>
        <v>#REF!</v>
      </c>
      <c r="AS256" s="117" t="e">
        <f t="shared" si="100"/>
        <v>#REF!</v>
      </c>
      <c r="AT256" s="117" t="e">
        <f t="shared" si="100"/>
        <v>#REF!</v>
      </c>
      <c r="AU256" s="117" t="e">
        <f t="shared" si="100"/>
        <v>#REF!</v>
      </c>
      <c r="AV256" s="117" t="e">
        <f t="shared" si="100"/>
        <v>#REF!</v>
      </c>
      <c r="AW256" s="117" t="e">
        <f t="shared" si="100"/>
        <v>#REF!</v>
      </c>
      <c r="AX256" s="117" t="e">
        <f t="shared" si="100"/>
        <v>#REF!</v>
      </c>
      <c r="AY256" s="117" t="e">
        <f t="shared" si="100"/>
        <v>#REF!</v>
      </c>
      <c r="AZ256" s="117" t="e">
        <f t="shared" si="100"/>
        <v>#REF!</v>
      </c>
      <c r="BA256" s="117" t="e">
        <f t="shared" si="100"/>
        <v>#REF!</v>
      </c>
      <c r="BB256" s="117" t="e">
        <f t="shared" si="100"/>
        <v>#REF!</v>
      </c>
    </row>
    <row r="257" spans="2:54" ht="16.5" x14ac:dyDescent="0.3">
      <c r="B257" s="111"/>
      <c r="C257" s="116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</row>
    <row r="258" spans="2:54" ht="16.5" x14ac:dyDescent="0.3">
      <c r="B258" s="111"/>
      <c r="C258" s="114" t="s">
        <v>206</v>
      </c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</row>
    <row r="259" spans="2:54" ht="16.5" x14ac:dyDescent="0.3">
      <c r="B259" s="111"/>
      <c r="C259" s="116" t="s">
        <v>207</v>
      </c>
      <c r="D259" s="118" t="e">
        <f ca="1">SUM(D249:D256)</f>
        <v>#REF!</v>
      </c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</row>
    <row r="260" spans="2:54" ht="16.5" x14ac:dyDescent="0.3">
      <c r="B260" s="111"/>
      <c r="C260" s="116" t="s">
        <v>206</v>
      </c>
      <c r="D260" s="118">
        <f>SUMIFS(#REF!,#REF!,adProjChocS2,#REF!,adProjScenario,#REF!,adProjCdCanton)</f>
        <v>0</v>
      </c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</row>
    <row r="261" spans="2:54" ht="16.5" x14ac:dyDescent="0.3">
      <c r="B261" s="111"/>
      <c r="C261" s="119" t="s">
        <v>208</v>
      </c>
      <c r="D261" s="120" t="e">
        <f ca="1">ABS(D260-D259)&lt;1</f>
        <v>#REF!</v>
      </c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  <c r="W261" s="121"/>
      <c r="X261" s="121"/>
      <c r="Y261" s="121"/>
      <c r="Z261" s="121"/>
      <c r="AA261" s="121"/>
      <c r="AB261" s="121"/>
      <c r="AC261" s="121"/>
      <c r="AD261" s="121"/>
      <c r="AE261" s="121"/>
      <c r="AF261" s="121"/>
      <c r="AG261" s="121"/>
      <c r="AH261" s="121"/>
      <c r="AI261" s="121"/>
      <c r="AJ261" s="121"/>
      <c r="AK261" s="121"/>
      <c r="AL261" s="121"/>
      <c r="AM261" s="121"/>
      <c r="AN261" s="121"/>
      <c r="AO261" s="121"/>
      <c r="AP261" s="121"/>
      <c r="AQ261" s="121"/>
      <c r="AR261" s="121"/>
      <c r="AS261" s="121"/>
      <c r="AT261" s="121"/>
      <c r="AU261" s="121"/>
      <c r="AV261" s="121"/>
      <c r="AW261" s="121"/>
      <c r="AX261" s="121"/>
      <c r="AY261" s="121"/>
      <c r="AZ261" s="121"/>
      <c r="BA261" s="121"/>
      <c r="BB261" s="121"/>
    </row>
    <row r="262" spans="2:54" ht="16.5" x14ac:dyDescent="0.3">
      <c r="B262" s="111"/>
      <c r="C262" s="116"/>
      <c r="D262" s="118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</row>
    <row r="263" spans="2:54" ht="16.5" x14ac:dyDescent="0.3">
      <c r="B263" s="111"/>
      <c r="C263" s="114" t="s">
        <v>209</v>
      </c>
      <c r="D263" s="118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</row>
    <row r="264" spans="2:54" ht="16.5" x14ac:dyDescent="0.3">
      <c r="B264" s="111"/>
      <c r="C264" s="116" t="s">
        <v>210</v>
      </c>
      <c r="D264" s="118" t="e">
        <f ca="1">OFFSET(adBilanCapPropres,0,adProjHorizon)*OFFSET(adDeflFin,0,adProjHorizon)</f>
        <v>#REF!</v>
      </c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</row>
    <row r="265" spans="2:54" ht="16.5" x14ac:dyDescent="0.3">
      <c r="B265" s="111"/>
      <c r="C265" s="116" t="s">
        <v>211</v>
      </c>
      <c r="D265" s="118" t="e">
        <f ca="1">OFFSET(adCrSoldePb,0,adProjHorizon)*OFFSET(adDeflFin,0,adProjHorizon)</f>
        <v>#REF!</v>
      </c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</row>
    <row r="266" spans="2:54" ht="16.5" x14ac:dyDescent="0.3">
      <c r="B266" s="111"/>
      <c r="C266" s="116" t="s">
        <v>212</v>
      </c>
      <c r="D266" s="118" t="e">
        <f ca="1">OFFSET(adMrgBeg,0,adProjHorizon)*OFFSET(adDeflFin,0,adProjHorizon)</f>
        <v>#REF!</v>
      </c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</row>
    <row r="267" spans="2:54" ht="16.5" x14ac:dyDescent="0.3">
      <c r="B267" s="111"/>
      <c r="C267" s="116" t="s">
        <v>213</v>
      </c>
      <c r="D267" s="118" t="e">
        <f ca="1">OFFSET(adBilanResCapi,0,adProjHorizon)*OFFSET(adDeflFin,0,adProjHorizon)</f>
        <v>#REF!</v>
      </c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</row>
    <row r="268" spans="2:54" ht="16.5" x14ac:dyDescent="0.3">
      <c r="B268" s="111"/>
      <c r="C268" s="116" t="s">
        <v>214</v>
      </c>
      <c r="D268" s="118" t="e">
        <f ca="1">OFFSET(adPmvlFin,0,adProjHorizon)*OFFSET(adDeflFin,0,adProjHorizon)</f>
        <v>#REF!</v>
      </c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</row>
    <row r="269" spans="2:54" ht="16.5" x14ac:dyDescent="0.3">
      <c r="B269" s="111"/>
      <c r="C269" s="116" t="s">
        <v>215</v>
      </c>
      <c r="D269" s="117" t="e">
        <f t="shared" ref="D269" si="101">SUM(E269:BB269)</f>
        <v>#REF!</v>
      </c>
      <c r="E269" s="117" t="e">
        <f>adFgxPlct*adDeflFin</f>
        <v>#REF!</v>
      </c>
      <c r="F269" s="117" t="e">
        <f t="shared" ref="F269:BB269" si="102">adFgxPlct*adDeflFin</f>
        <v>#REF!</v>
      </c>
      <c r="G269" s="117" t="e">
        <f t="shared" si="102"/>
        <v>#REF!</v>
      </c>
      <c r="H269" s="117" t="e">
        <f t="shared" si="102"/>
        <v>#REF!</v>
      </c>
      <c r="I269" s="117" t="e">
        <f t="shared" si="102"/>
        <v>#REF!</v>
      </c>
      <c r="J269" s="117" t="e">
        <f t="shared" si="102"/>
        <v>#REF!</v>
      </c>
      <c r="K269" s="117" t="e">
        <f t="shared" si="102"/>
        <v>#REF!</v>
      </c>
      <c r="L269" s="117" t="e">
        <f t="shared" si="102"/>
        <v>#REF!</v>
      </c>
      <c r="M269" s="117" t="e">
        <f t="shared" si="102"/>
        <v>#REF!</v>
      </c>
      <c r="N269" s="117" t="e">
        <f t="shared" si="102"/>
        <v>#REF!</v>
      </c>
      <c r="O269" s="117" t="e">
        <f t="shared" si="102"/>
        <v>#REF!</v>
      </c>
      <c r="P269" s="117" t="e">
        <f t="shared" si="102"/>
        <v>#REF!</v>
      </c>
      <c r="Q269" s="117" t="e">
        <f t="shared" si="102"/>
        <v>#REF!</v>
      </c>
      <c r="R269" s="117" t="e">
        <f t="shared" si="102"/>
        <v>#REF!</v>
      </c>
      <c r="S269" s="117" t="e">
        <f t="shared" si="102"/>
        <v>#REF!</v>
      </c>
      <c r="T269" s="117" t="e">
        <f t="shared" si="102"/>
        <v>#REF!</v>
      </c>
      <c r="U269" s="117" t="e">
        <f t="shared" si="102"/>
        <v>#REF!</v>
      </c>
      <c r="V269" s="117" t="e">
        <f t="shared" si="102"/>
        <v>#REF!</v>
      </c>
      <c r="W269" s="117" t="e">
        <f t="shared" si="102"/>
        <v>#REF!</v>
      </c>
      <c r="X269" s="117" t="e">
        <f t="shared" si="102"/>
        <v>#REF!</v>
      </c>
      <c r="Y269" s="117" t="e">
        <f t="shared" si="102"/>
        <v>#REF!</v>
      </c>
      <c r="Z269" s="117" t="e">
        <f t="shared" si="102"/>
        <v>#REF!</v>
      </c>
      <c r="AA269" s="117" t="e">
        <f t="shared" si="102"/>
        <v>#REF!</v>
      </c>
      <c r="AB269" s="117" t="e">
        <f t="shared" si="102"/>
        <v>#REF!</v>
      </c>
      <c r="AC269" s="117" t="e">
        <f t="shared" si="102"/>
        <v>#REF!</v>
      </c>
      <c r="AD269" s="117" t="e">
        <f t="shared" si="102"/>
        <v>#REF!</v>
      </c>
      <c r="AE269" s="117" t="e">
        <f t="shared" si="102"/>
        <v>#REF!</v>
      </c>
      <c r="AF269" s="117" t="e">
        <f t="shared" si="102"/>
        <v>#REF!</v>
      </c>
      <c r="AG269" s="117" t="e">
        <f t="shared" si="102"/>
        <v>#REF!</v>
      </c>
      <c r="AH269" s="117" t="e">
        <f t="shared" si="102"/>
        <v>#REF!</v>
      </c>
      <c r="AI269" s="117" t="e">
        <f t="shared" si="102"/>
        <v>#REF!</v>
      </c>
      <c r="AJ269" s="117" t="e">
        <f t="shared" si="102"/>
        <v>#REF!</v>
      </c>
      <c r="AK269" s="117" t="e">
        <f t="shared" si="102"/>
        <v>#REF!</v>
      </c>
      <c r="AL269" s="117" t="e">
        <f t="shared" si="102"/>
        <v>#REF!</v>
      </c>
      <c r="AM269" s="117" t="e">
        <f t="shared" si="102"/>
        <v>#REF!</v>
      </c>
      <c r="AN269" s="117" t="e">
        <f t="shared" si="102"/>
        <v>#REF!</v>
      </c>
      <c r="AO269" s="117" t="e">
        <f t="shared" si="102"/>
        <v>#REF!</v>
      </c>
      <c r="AP269" s="117" t="e">
        <f t="shared" si="102"/>
        <v>#REF!</v>
      </c>
      <c r="AQ269" s="117" t="e">
        <f t="shared" si="102"/>
        <v>#REF!</v>
      </c>
      <c r="AR269" s="117" t="e">
        <f t="shared" si="102"/>
        <v>#REF!</v>
      </c>
      <c r="AS269" s="117" t="e">
        <f t="shared" si="102"/>
        <v>#REF!</v>
      </c>
      <c r="AT269" s="117" t="e">
        <f t="shared" si="102"/>
        <v>#REF!</v>
      </c>
      <c r="AU269" s="117" t="e">
        <f t="shared" si="102"/>
        <v>#REF!</v>
      </c>
      <c r="AV269" s="117" t="e">
        <f t="shared" si="102"/>
        <v>#REF!</v>
      </c>
      <c r="AW269" s="117" t="e">
        <f t="shared" si="102"/>
        <v>#REF!</v>
      </c>
      <c r="AX269" s="117" t="e">
        <f t="shared" si="102"/>
        <v>#REF!</v>
      </c>
      <c r="AY269" s="117" t="e">
        <f t="shared" si="102"/>
        <v>#REF!</v>
      </c>
      <c r="AZ269" s="117" t="e">
        <f t="shared" si="102"/>
        <v>#REF!</v>
      </c>
      <c r="BA269" s="117" t="e">
        <f t="shared" si="102"/>
        <v>#REF!</v>
      </c>
      <c r="BB269" s="117" t="e">
        <f t="shared" si="102"/>
        <v>#REF!</v>
      </c>
    </row>
    <row r="270" spans="2:54" ht="16.5" x14ac:dyDescent="0.3">
      <c r="B270" s="111"/>
      <c r="C270" s="116" t="s">
        <v>114</v>
      </c>
      <c r="D270" s="117" t="e">
        <f t="shared" ref="D270:D274" si="103">SUM(E270:BB270)</f>
        <v>#REF!</v>
      </c>
      <c r="E270" s="115" t="e">
        <f t="shared" ref="E270:AJ270" si="104">adPrstTotChgt*adDeflDebut</f>
        <v>#REF!</v>
      </c>
      <c r="F270" s="115" t="e">
        <f t="shared" si="104"/>
        <v>#REF!</v>
      </c>
      <c r="G270" s="115" t="e">
        <f t="shared" si="104"/>
        <v>#REF!</v>
      </c>
      <c r="H270" s="115" t="e">
        <f t="shared" si="104"/>
        <v>#REF!</v>
      </c>
      <c r="I270" s="115" t="e">
        <f t="shared" si="104"/>
        <v>#REF!</v>
      </c>
      <c r="J270" s="115" t="e">
        <f t="shared" si="104"/>
        <v>#REF!</v>
      </c>
      <c r="K270" s="115" t="e">
        <f t="shared" si="104"/>
        <v>#REF!</v>
      </c>
      <c r="L270" s="115" t="e">
        <f t="shared" si="104"/>
        <v>#REF!</v>
      </c>
      <c r="M270" s="115" t="e">
        <f t="shared" si="104"/>
        <v>#REF!</v>
      </c>
      <c r="N270" s="115" t="e">
        <f t="shared" si="104"/>
        <v>#REF!</v>
      </c>
      <c r="O270" s="115" t="e">
        <f t="shared" si="104"/>
        <v>#REF!</v>
      </c>
      <c r="P270" s="115" t="e">
        <f t="shared" si="104"/>
        <v>#REF!</v>
      </c>
      <c r="Q270" s="115" t="e">
        <f t="shared" si="104"/>
        <v>#REF!</v>
      </c>
      <c r="R270" s="115" t="e">
        <f t="shared" si="104"/>
        <v>#REF!</v>
      </c>
      <c r="S270" s="115" t="e">
        <f t="shared" si="104"/>
        <v>#REF!</v>
      </c>
      <c r="T270" s="115" t="e">
        <f t="shared" si="104"/>
        <v>#REF!</v>
      </c>
      <c r="U270" s="115" t="e">
        <f t="shared" si="104"/>
        <v>#REF!</v>
      </c>
      <c r="V270" s="115" t="e">
        <f t="shared" si="104"/>
        <v>#REF!</v>
      </c>
      <c r="W270" s="115" t="e">
        <f t="shared" si="104"/>
        <v>#REF!</v>
      </c>
      <c r="X270" s="115" t="e">
        <f t="shared" si="104"/>
        <v>#REF!</v>
      </c>
      <c r="Y270" s="115" t="e">
        <f t="shared" si="104"/>
        <v>#REF!</v>
      </c>
      <c r="Z270" s="115" t="e">
        <f t="shared" si="104"/>
        <v>#REF!</v>
      </c>
      <c r="AA270" s="115" t="e">
        <f t="shared" si="104"/>
        <v>#REF!</v>
      </c>
      <c r="AB270" s="115" t="e">
        <f t="shared" si="104"/>
        <v>#REF!</v>
      </c>
      <c r="AC270" s="115" t="e">
        <f t="shared" si="104"/>
        <v>#REF!</v>
      </c>
      <c r="AD270" s="115" t="e">
        <f t="shared" si="104"/>
        <v>#REF!</v>
      </c>
      <c r="AE270" s="115" t="e">
        <f t="shared" si="104"/>
        <v>#REF!</v>
      </c>
      <c r="AF270" s="115" t="e">
        <f t="shared" si="104"/>
        <v>#REF!</v>
      </c>
      <c r="AG270" s="115" t="e">
        <f t="shared" si="104"/>
        <v>#REF!</v>
      </c>
      <c r="AH270" s="115" t="e">
        <f t="shared" si="104"/>
        <v>#REF!</v>
      </c>
      <c r="AI270" s="115" t="e">
        <f t="shared" si="104"/>
        <v>#REF!</v>
      </c>
      <c r="AJ270" s="115" t="e">
        <f t="shared" si="104"/>
        <v>#REF!</v>
      </c>
      <c r="AK270" s="115" t="e">
        <f t="shared" ref="AK270:BB270" si="105">adPrstTotChgt*adDeflDebut</f>
        <v>#REF!</v>
      </c>
      <c r="AL270" s="115" t="e">
        <f t="shared" si="105"/>
        <v>#REF!</v>
      </c>
      <c r="AM270" s="115" t="e">
        <f t="shared" si="105"/>
        <v>#REF!</v>
      </c>
      <c r="AN270" s="115" t="e">
        <f t="shared" si="105"/>
        <v>#REF!</v>
      </c>
      <c r="AO270" s="115" t="e">
        <f t="shared" si="105"/>
        <v>#REF!</v>
      </c>
      <c r="AP270" s="115" t="e">
        <f t="shared" si="105"/>
        <v>#REF!</v>
      </c>
      <c r="AQ270" s="115" t="e">
        <f t="shared" si="105"/>
        <v>#REF!</v>
      </c>
      <c r="AR270" s="115" t="e">
        <f t="shared" si="105"/>
        <v>#REF!</v>
      </c>
      <c r="AS270" s="115" t="e">
        <f t="shared" si="105"/>
        <v>#REF!</v>
      </c>
      <c r="AT270" s="115" t="e">
        <f t="shared" si="105"/>
        <v>#REF!</v>
      </c>
      <c r="AU270" s="115" t="e">
        <f t="shared" si="105"/>
        <v>#REF!</v>
      </c>
      <c r="AV270" s="115" t="e">
        <f t="shared" si="105"/>
        <v>#REF!</v>
      </c>
      <c r="AW270" s="115" t="e">
        <f t="shared" si="105"/>
        <v>#REF!</v>
      </c>
      <c r="AX270" s="115" t="e">
        <f t="shared" si="105"/>
        <v>#REF!</v>
      </c>
      <c r="AY270" s="115" t="e">
        <f t="shared" si="105"/>
        <v>#REF!</v>
      </c>
      <c r="AZ270" s="115" t="e">
        <f t="shared" si="105"/>
        <v>#REF!</v>
      </c>
      <c r="BA270" s="115" t="e">
        <f t="shared" si="105"/>
        <v>#REF!</v>
      </c>
      <c r="BB270" s="115" t="e">
        <f t="shared" si="105"/>
        <v>#REF!</v>
      </c>
    </row>
    <row r="271" spans="2:54" ht="16.5" x14ac:dyDescent="0.3">
      <c r="B271" s="111"/>
      <c r="C271" s="116" t="s">
        <v>216</v>
      </c>
      <c r="D271" s="117" t="e">
        <f t="shared" si="103"/>
        <v>#REF!</v>
      </c>
      <c r="E271" s="115" t="e">
        <f t="shared" ref="E271:AJ271" si="106">adFgseEu*adDeflDebut</f>
        <v>#REF!</v>
      </c>
      <c r="F271" s="115" t="e">
        <f t="shared" si="106"/>
        <v>#REF!</v>
      </c>
      <c r="G271" s="115" t="e">
        <f t="shared" si="106"/>
        <v>#REF!</v>
      </c>
      <c r="H271" s="115" t="e">
        <f t="shared" si="106"/>
        <v>#REF!</v>
      </c>
      <c r="I271" s="115" t="e">
        <f t="shared" si="106"/>
        <v>#REF!</v>
      </c>
      <c r="J271" s="115" t="e">
        <f t="shared" si="106"/>
        <v>#REF!</v>
      </c>
      <c r="K271" s="115" t="e">
        <f t="shared" si="106"/>
        <v>#REF!</v>
      </c>
      <c r="L271" s="115" t="e">
        <f t="shared" si="106"/>
        <v>#REF!</v>
      </c>
      <c r="M271" s="115" t="e">
        <f t="shared" si="106"/>
        <v>#REF!</v>
      </c>
      <c r="N271" s="115" t="e">
        <f t="shared" si="106"/>
        <v>#REF!</v>
      </c>
      <c r="O271" s="115" t="e">
        <f t="shared" si="106"/>
        <v>#REF!</v>
      </c>
      <c r="P271" s="115" t="e">
        <f t="shared" si="106"/>
        <v>#REF!</v>
      </c>
      <c r="Q271" s="115" t="e">
        <f t="shared" si="106"/>
        <v>#REF!</v>
      </c>
      <c r="R271" s="115" t="e">
        <f t="shared" si="106"/>
        <v>#REF!</v>
      </c>
      <c r="S271" s="115" t="e">
        <f t="shared" si="106"/>
        <v>#REF!</v>
      </c>
      <c r="T271" s="115" t="e">
        <f t="shared" si="106"/>
        <v>#REF!</v>
      </c>
      <c r="U271" s="115" t="e">
        <f t="shared" si="106"/>
        <v>#REF!</v>
      </c>
      <c r="V271" s="115" t="e">
        <f t="shared" si="106"/>
        <v>#REF!</v>
      </c>
      <c r="W271" s="115" t="e">
        <f t="shared" si="106"/>
        <v>#REF!</v>
      </c>
      <c r="X271" s="115" t="e">
        <f t="shared" si="106"/>
        <v>#REF!</v>
      </c>
      <c r="Y271" s="115" t="e">
        <f t="shared" si="106"/>
        <v>#REF!</v>
      </c>
      <c r="Z271" s="115" t="e">
        <f t="shared" si="106"/>
        <v>#REF!</v>
      </c>
      <c r="AA271" s="115" t="e">
        <f t="shared" si="106"/>
        <v>#REF!</v>
      </c>
      <c r="AB271" s="115" t="e">
        <f t="shared" si="106"/>
        <v>#REF!</v>
      </c>
      <c r="AC271" s="115" t="e">
        <f t="shared" si="106"/>
        <v>#REF!</v>
      </c>
      <c r="AD271" s="115" t="e">
        <f t="shared" si="106"/>
        <v>#REF!</v>
      </c>
      <c r="AE271" s="115" t="e">
        <f t="shared" si="106"/>
        <v>#REF!</v>
      </c>
      <c r="AF271" s="115" t="e">
        <f t="shared" si="106"/>
        <v>#REF!</v>
      </c>
      <c r="AG271" s="115" t="e">
        <f t="shared" si="106"/>
        <v>#REF!</v>
      </c>
      <c r="AH271" s="115" t="e">
        <f t="shared" si="106"/>
        <v>#REF!</v>
      </c>
      <c r="AI271" s="115" t="e">
        <f t="shared" si="106"/>
        <v>#REF!</v>
      </c>
      <c r="AJ271" s="115" t="e">
        <f t="shared" si="106"/>
        <v>#REF!</v>
      </c>
      <c r="AK271" s="115" t="e">
        <f t="shared" ref="AK271:BB271" si="107">adFgseEu*adDeflDebut</f>
        <v>#REF!</v>
      </c>
      <c r="AL271" s="115" t="e">
        <f t="shared" si="107"/>
        <v>#REF!</v>
      </c>
      <c r="AM271" s="115" t="e">
        <f t="shared" si="107"/>
        <v>#REF!</v>
      </c>
      <c r="AN271" s="115" t="e">
        <f t="shared" si="107"/>
        <v>#REF!</v>
      </c>
      <c r="AO271" s="115" t="e">
        <f t="shared" si="107"/>
        <v>#REF!</v>
      </c>
      <c r="AP271" s="115" t="e">
        <f t="shared" si="107"/>
        <v>#REF!</v>
      </c>
      <c r="AQ271" s="115" t="e">
        <f t="shared" si="107"/>
        <v>#REF!</v>
      </c>
      <c r="AR271" s="115" t="e">
        <f t="shared" si="107"/>
        <v>#REF!</v>
      </c>
      <c r="AS271" s="115" t="e">
        <f t="shared" si="107"/>
        <v>#REF!</v>
      </c>
      <c r="AT271" s="115" t="e">
        <f t="shared" si="107"/>
        <v>#REF!</v>
      </c>
      <c r="AU271" s="115" t="e">
        <f t="shared" si="107"/>
        <v>#REF!</v>
      </c>
      <c r="AV271" s="115" t="e">
        <f t="shared" si="107"/>
        <v>#REF!</v>
      </c>
      <c r="AW271" s="115" t="e">
        <f t="shared" si="107"/>
        <v>#REF!</v>
      </c>
      <c r="AX271" s="115" t="e">
        <f t="shared" si="107"/>
        <v>#REF!</v>
      </c>
      <c r="AY271" s="115" t="e">
        <f t="shared" si="107"/>
        <v>#REF!</v>
      </c>
      <c r="AZ271" s="115" t="e">
        <f t="shared" si="107"/>
        <v>#REF!</v>
      </c>
      <c r="BA271" s="115" t="e">
        <f t="shared" si="107"/>
        <v>#REF!</v>
      </c>
      <c r="BB271" s="115" t="e">
        <f t="shared" si="107"/>
        <v>#REF!</v>
      </c>
    </row>
    <row r="272" spans="2:54" ht="16.5" x14ac:dyDescent="0.3">
      <c r="B272" s="111"/>
      <c r="C272" s="116" t="s">
        <v>217</v>
      </c>
      <c r="D272" s="117" t="e">
        <f t="shared" si="103"/>
        <v>#REF!</v>
      </c>
      <c r="E272" s="115" t="e">
        <f t="shared" ref="E272:AJ272" si="108">adFgseUc*adDeflDebut</f>
        <v>#REF!</v>
      </c>
      <c r="F272" s="115" t="e">
        <f t="shared" si="108"/>
        <v>#REF!</v>
      </c>
      <c r="G272" s="115" t="e">
        <f t="shared" si="108"/>
        <v>#REF!</v>
      </c>
      <c r="H272" s="115" t="e">
        <f t="shared" si="108"/>
        <v>#REF!</v>
      </c>
      <c r="I272" s="115" t="e">
        <f t="shared" si="108"/>
        <v>#REF!</v>
      </c>
      <c r="J272" s="115" t="e">
        <f t="shared" si="108"/>
        <v>#REF!</v>
      </c>
      <c r="K272" s="115" t="e">
        <f t="shared" si="108"/>
        <v>#REF!</v>
      </c>
      <c r="L272" s="115" t="e">
        <f t="shared" si="108"/>
        <v>#REF!</v>
      </c>
      <c r="M272" s="115" t="e">
        <f t="shared" si="108"/>
        <v>#REF!</v>
      </c>
      <c r="N272" s="115" t="e">
        <f t="shared" si="108"/>
        <v>#REF!</v>
      </c>
      <c r="O272" s="115" t="e">
        <f t="shared" si="108"/>
        <v>#REF!</v>
      </c>
      <c r="P272" s="115" t="e">
        <f t="shared" si="108"/>
        <v>#REF!</v>
      </c>
      <c r="Q272" s="115" t="e">
        <f t="shared" si="108"/>
        <v>#REF!</v>
      </c>
      <c r="R272" s="115" t="e">
        <f t="shared" si="108"/>
        <v>#REF!</v>
      </c>
      <c r="S272" s="115" t="e">
        <f t="shared" si="108"/>
        <v>#REF!</v>
      </c>
      <c r="T272" s="115" t="e">
        <f t="shared" si="108"/>
        <v>#REF!</v>
      </c>
      <c r="U272" s="115" t="e">
        <f t="shared" si="108"/>
        <v>#REF!</v>
      </c>
      <c r="V272" s="115" t="e">
        <f t="shared" si="108"/>
        <v>#REF!</v>
      </c>
      <c r="W272" s="115" t="e">
        <f t="shared" si="108"/>
        <v>#REF!</v>
      </c>
      <c r="X272" s="115" t="e">
        <f t="shared" si="108"/>
        <v>#REF!</v>
      </c>
      <c r="Y272" s="115" t="e">
        <f t="shared" si="108"/>
        <v>#REF!</v>
      </c>
      <c r="Z272" s="115" t="e">
        <f t="shared" si="108"/>
        <v>#REF!</v>
      </c>
      <c r="AA272" s="115" t="e">
        <f t="shared" si="108"/>
        <v>#REF!</v>
      </c>
      <c r="AB272" s="115" t="e">
        <f t="shared" si="108"/>
        <v>#REF!</v>
      </c>
      <c r="AC272" s="115" t="e">
        <f t="shared" si="108"/>
        <v>#REF!</v>
      </c>
      <c r="AD272" s="115" t="e">
        <f t="shared" si="108"/>
        <v>#REF!</v>
      </c>
      <c r="AE272" s="115" t="e">
        <f t="shared" si="108"/>
        <v>#REF!</v>
      </c>
      <c r="AF272" s="115" t="e">
        <f t="shared" si="108"/>
        <v>#REF!</v>
      </c>
      <c r="AG272" s="115" t="e">
        <f t="shared" si="108"/>
        <v>#REF!</v>
      </c>
      <c r="AH272" s="115" t="e">
        <f t="shared" si="108"/>
        <v>#REF!</v>
      </c>
      <c r="AI272" s="115" t="e">
        <f t="shared" si="108"/>
        <v>#REF!</v>
      </c>
      <c r="AJ272" s="115" t="e">
        <f t="shared" si="108"/>
        <v>#REF!</v>
      </c>
      <c r="AK272" s="115" t="e">
        <f t="shared" ref="AK272:BB272" si="109">adFgseUc*adDeflDebut</f>
        <v>#REF!</v>
      </c>
      <c r="AL272" s="115" t="e">
        <f t="shared" si="109"/>
        <v>#REF!</v>
      </c>
      <c r="AM272" s="115" t="e">
        <f t="shared" si="109"/>
        <v>#REF!</v>
      </c>
      <c r="AN272" s="115" t="e">
        <f t="shared" si="109"/>
        <v>#REF!</v>
      </c>
      <c r="AO272" s="115" t="e">
        <f t="shared" si="109"/>
        <v>#REF!</v>
      </c>
      <c r="AP272" s="115" t="e">
        <f t="shared" si="109"/>
        <v>#REF!</v>
      </c>
      <c r="AQ272" s="115" t="e">
        <f t="shared" si="109"/>
        <v>#REF!</v>
      </c>
      <c r="AR272" s="115" t="e">
        <f t="shared" si="109"/>
        <v>#REF!</v>
      </c>
      <c r="AS272" s="115" t="e">
        <f t="shared" si="109"/>
        <v>#REF!</v>
      </c>
      <c r="AT272" s="115" t="e">
        <f t="shared" si="109"/>
        <v>#REF!</v>
      </c>
      <c r="AU272" s="115" t="e">
        <f t="shared" si="109"/>
        <v>#REF!</v>
      </c>
      <c r="AV272" s="115" t="e">
        <f t="shared" si="109"/>
        <v>#REF!</v>
      </c>
      <c r="AW272" s="115" t="e">
        <f t="shared" si="109"/>
        <v>#REF!</v>
      </c>
      <c r="AX272" s="115" t="e">
        <f t="shared" si="109"/>
        <v>#REF!</v>
      </c>
      <c r="AY272" s="115" t="e">
        <f t="shared" si="109"/>
        <v>#REF!</v>
      </c>
      <c r="AZ272" s="115" t="e">
        <f t="shared" si="109"/>
        <v>#REF!</v>
      </c>
      <c r="BA272" s="115" t="e">
        <f t="shared" si="109"/>
        <v>#REF!</v>
      </c>
      <c r="BB272" s="115" t="e">
        <f t="shared" si="109"/>
        <v>#REF!</v>
      </c>
    </row>
    <row r="273" spans="2:54" ht="16.5" x14ac:dyDescent="0.3">
      <c r="B273" s="111"/>
      <c r="C273" s="116" t="s">
        <v>218</v>
      </c>
      <c r="D273" s="117" t="e">
        <f t="shared" si="103"/>
        <v>#REF!</v>
      </c>
      <c r="E273" s="115" t="e">
        <f t="shared" ref="E273:AJ273" si="110">adChgtVcMoy*adDeflFin</f>
        <v>#REF!</v>
      </c>
      <c r="F273" s="115" t="e">
        <f t="shared" si="110"/>
        <v>#REF!</v>
      </c>
      <c r="G273" s="115" t="e">
        <f t="shared" si="110"/>
        <v>#REF!</v>
      </c>
      <c r="H273" s="115" t="e">
        <f t="shared" si="110"/>
        <v>#REF!</v>
      </c>
      <c r="I273" s="115" t="e">
        <f t="shared" si="110"/>
        <v>#REF!</v>
      </c>
      <c r="J273" s="115" t="e">
        <f t="shared" si="110"/>
        <v>#REF!</v>
      </c>
      <c r="K273" s="115" t="e">
        <f t="shared" si="110"/>
        <v>#REF!</v>
      </c>
      <c r="L273" s="115" t="e">
        <f t="shared" si="110"/>
        <v>#REF!</v>
      </c>
      <c r="M273" s="115" t="e">
        <f t="shared" si="110"/>
        <v>#REF!</v>
      </c>
      <c r="N273" s="115" t="e">
        <f t="shared" si="110"/>
        <v>#REF!</v>
      </c>
      <c r="O273" s="115" t="e">
        <f t="shared" si="110"/>
        <v>#REF!</v>
      </c>
      <c r="P273" s="115" t="e">
        <f t="shared" si="110"/>
        <v>#REF!</v>
      </c>
      <c r="Q273" s="115" t="e">
        <f t="shared" si="110"/>
        <v>#REF!</v>
      </c>
      <c r="R273" s="115" t="e">
        <f t="shared" si="110"/>
        <v>#REF!</v>
      </c>
      <c r="S273" s="115" t="e">
        <f t="shared" si="110"/>
        <v>#REF!</v>
      </c>
      <c r="T273" s="115" t="e">
        <f t="shared" si="110"/>
        <v>#REF!</v>
      </c>
      <c r="U273" s="115" t="e">
        <f t="shared" si="110"/>
        <v>#REF!</v>
      </c>
      <c r="V273" s="115" t="e">
        <f t="shared" si="110"/>
        <v>#REF!</v>
      </c>
      <c r="W273" s="115" t="e">
        <f t="shared" si="110"/>
        <v>#REF!</v>
      </c>
      <c r="X273" s="115" t="e">
        <f t="shared" si="110"/>
        <v>#REF!</v>
      </c>
      <c r="Y273" s="115" t="e">
        <f t="shared" si="110"/>
        <v>#REF!</v>
      </c>
      <c r="Z273" s="115" t="e">
        <f t="shared" si="110"/>
        <v>#REF!</v>
      </c>
      <c r="AA273" s="115" t="e">
        <f t="shared" si="110"/>
        <v>#REF!</v>
      </c>
      <c r="AB273" s="115" t="e">
        <f t="shared" si="110"/>
        <v>#REF!</v>
      </c>
      <c r="AC273" s="115" t="e">
        <f t="shared" si="110"/>
        <v>#REF!</v>
      </c>
      <c r="AD273" s="115" t="e">
        <f t="shared" si="110"/>
        <v>#REF!</v>
      </c>
      <c r="AE273" s="115" t="e">
        <f t="shared" si="110"/>
        <v>#REF!</v>
      </c>
      <c r="AF273" s="115" t="e">
        <f t="shared" si="110"/>
        <v>#REF!</v>
      </c>
      <c r="AG273" s="115" t="e">
        <f t="shared" si="110"/>
        <v>#REF!</v>
      </c>
      <c r="AH273" s="115" t="e">
        <f t="shared" si="110"/>
        <v>#REF!</v>
      </c>
      <c r="AI273" s="115" t="e">
        <f t="shared" si="110"/>
        <v>#REF!</v>
      </c>
      <c r="AJ273" s="115" t="e">
        <f t="shared" si="110"/>
        <v>#REF!</v>
      </c>
      <c r="AK273" s="115" t="e">
        <f t="shared" ref="AK273:BB273" si="111">adChgtVcMoy*adDeflFin</f>
        <v>#REF!</v>
      </c>
      <c r="AL273" s="115" t="e">
        <f t="shared" si="111"/>
        <v>#REF!</v>
      </c>
      <c r="AM273" s="115" t="e">
        <f t="shared" si="111"/>
        <v>#REF!</v>
      </c>
      <c r="AN273" s="115" t="e">
        <f t="shared" si="111"/>
        <v>#REF!</v>
      </c>
      <c r="AO273" s="115" t="e">
        <f t="shared" si="111"/>
        <v>#REF!</v>
      </c>
      <c r="AP273" s="115" t="e">
        <f t="shared" si="111"/>
        <v>#REF!</v>
      </c>
      <c r="AQ273" s="115" t="e">
        <f t="shared" si="111"/>
        <v>#REF!</v>
      </c>
      <c r="AR273" s="115" t="e">
        <f t="shared" si="111"/>
        <v>#REF!</v>
      </c>
      <c r="AS273" s="115" t="e">
        <f t="shared" si="111"/>
        <v>#REF!</v>
      </c>
      <c r="AT273" s="115" t="e">
        <f t="shared" si="111"/>
        <v>#REF!</v>
      </c>
      <c r="AU273" s="115" t="e">
        <f t="shared" si="111"/>
        <v>#REF!</v>
      </c>
      <c r="AV273" s="115" t="e">
        <f t="shared" si="111"/>
        <v>#REF!</v>
      </c>
      <c r="AW273" s="115" t="e">
        <f t="shared" si="111"/>
        <v>#REF!</v>
      </c>
      <c r="AX273" s="115" t="e">
        <f t="shared" si="111"/>
        <v>#REF!</v>
      </c>
      <c r="AY273" s="115" t="e">
        <f t="shared" si="111"/>
        <v>#REF!</v>
      </c>
      <c r="AZ273" s="115" t="e">
        <f t="shared" si="111"/>
        <v>#REF!</v>
      </c>
      <c r="BA273" s="115" t="e">
        <f t="shared" si="111"/>
        <v>#REF!</v>
      </c>
      <c r="BB273" s="115" t="e">
        <f t="shared" si="111"/>
        <v>#REF!</v>
      </c>
    </row>
    <row r="274" spans="2:54" ht="16.5" x14ac:dyDescent="0.3">
      <c r="B274" s="111"/>
      <c r="C274" s="116" t="s">
        <v>129</v>
      </c>
      <c r="D274" s="117" t="e">
        <f t="shared" si="103"/>
        <v>#REF!</v>
      </c>
      <c r="E274" s="115" t="e">
        <f t="shared" ref="E274:AJ274" si="112">adChgtPfi*adDeflFin</f>
        <v>#REF!</v>
      </c>
      <c r="F274" s="115" t="e">
        <f t="shared" si="112"/>
        <v>#REF!</v>
      </c>
      <c r="G274" s="115" t="e">
        <f t="shared" si="112"/>
        <v>#REF!</v>
      </c>
      <c r="H274" s="115" t="e">
        <f t="shared" si="112"/>
        <v>#REF!</v>
      </c>
      <c r="I274" s="115" t="e">
        <f t="shared" si="112"/>
        <v>#REF!</v>
      </c>
      <c r="J274" s="115" t="e">
        <f t="shared" si="112"/>
        <v>#REF!</v>
      </c>
      <c r="K274" s="115" t="e">
        <f t="shared" si="112"/>
        <v>#REF!</v>
      </c>
      <c r="L274" s="115" t="e">
        <f t="shared" si="112"/>
        <v>#REF!</v>
      </c>
      <c r="M274" s="115" t="e">
        <f t="shared" si="112"/>
        <v>#REF!</v>
      </c>
      <c r="N274" s="115" t="e">
        <f t="shared" si="112"/>
        <v>#REF!</v>
      </c>
      <c r="O274" s="115" t="e">
        <f t="shared" si="112"/>
        <v>#REF!</v>
      </c>
      <c r="P274" s="115" t="e">
        <f t="shared" si="112"/>
        <v>#REF!</v>
      </c>
      <c r="Q274" s="115" t="e">
        <f t="shared" si="112"/>
        <v>#REF!</v>
      </c>
      <c r="R274" s="115" t="e">
        <f t="shared" si="112"/>
        <v>#REF!</v>
      </c>
      <c r="S274" s="115" t="e">
        <f t="shared" si="112"/>
        <v>#REF!</v>
      </c>
      <c r="T274" s="115" t="e">
        <f t="shared" si="112"/>
        <v>#REF!</v>
      </c>
      <c r="U274" s="115" t="e">
        <f t="shared" si="112"/>
        <v>#REF!</v>
      </c>
      <c r="V274" s="115" t="e">
        <f t="shared" si="112"/>
        <v>#REF!</v>
      </c>
      <c r="W274" s="115" t="e">
        <f t="shared" si="112"/>
        <v>#REF!</v>
      </c>
      <c r="X274" s="115" t="e">
        <f t="shared" si="112"/>
        <v>#REF!</v>
      </c>
      <c r="Y274" s="115" t="e">
        <f t="shared" si="112"/>
        <v>#REF!</v>
      </c>
      <c r="Z274" s="115" t="e">
        <f t="shared" si="112"/>
        <v>#REF!</v>
      </c>
      <c r="AA274" s="115" t="e">
        <f t="shared" si="112"/>
        <v>#REF!</v>
      </c>
      <c r="AB274" s="115" t="e">
        <f t="shared" si="112"/>
        <v>#REF!</v>
      </c>
      <c r="AC274" s="115" t="e">
        <f t="shared" si="112"/>
        <v>#REF!</v>
      </c>
      <c r="AD274" s="115" t="e">
        <f t="shared" si="112"/>
        <v>#REF!</v>
      </c>
      <c r="AE274" s="115" t="e">
        <f t="shared" si="112"/>
        <v>#REF!</v>
      </c>
      <c r="AF274" s="115" t="e">
        <f t="shared" si="112"/>
        <v>#REF!</v>
      </c>
      <c r="AG274" s="115" t="e">
        <f t="shared" si="112"/>
        <v>#REF!</v>
      </c>
      <c r="AH274" s="115" t="e">
        <f t="shared" si="112"/>
        <v>#REF!</v>
      </c>
      <c r="AI274" s="115" t="e">
        <f t="shared" si="112"/>
        <v>#REF!</v>
      </c>
      <c r="AJ274" s="115" t="e">
        <f t="shared" si="112"/>
        <v>#REF!</v>
      </c>
      <c r="AK274" s="115" t="e">
        <f t="shared" ref="AK274:BB274" si="113">adChgtPfi*adDeflFin</f>
        <v>#REF!</v>
      </c>
      <c r="AL274" s="115" t="e">
        <f t="shared" si="113"/>
        <v>#REF!</v>
      </c>
      <c r="AM274" s="115" t="e">
        <f t="shared" si="113"/>
        <v>#REF!</v>
      </c>
      <c r="AN274" s="115" t="e">
        <f t="shared" si="113"/>
        <v>#REF!</v>
      </c>
      <c r="AO274" s="115" t="e">
        <f t="shared" si="113"/>
        <v>#REF!</v>
      </c>
      <c r="AP274" s="115" t="e">
        <f t="shared" si="113"/>
        <v>#REF!</v>
      </c>
      <c r="AQ274" s="115" t="e">
        <f t="shared" si="113"/>
        <v>#REF!</v>
      </c>
      <c r="AR274" s="115" t="e">
        <f t="shared" si="113"/>
        <v>#REF!</v>
      </c>
      <c r="AS274" s="115" t="e">
        <f t="shared" si="113"/>
        <v>#REF!</v>
      </c>
      <c r="AT274" s="115" t="e">
        <f t="shared" si="113"/>
        <v>#REF!</v>
      </c>
      <c r="AU274" s="115" t="e">
        <f t="shared" si="113"/>
        <v>#REF!</v>
      </c>
      <c r="AV274" s="115" t="e">
        <f t="shared" si="113"/>
        <v>#REF!</v>
      </c>
      <c r="AW274" s="115" t="e">
        <f t="shared" si="113"/>
        <v>#REF!</v>
      </c>
      <c r="AX274" s="115" t="e">
        <f t="shared" si="113"/>
        <v>#REF!</v>
      </c>
      <c r="AY274" s="115" t="e">
        <f t="shared" si="113"/>
        <v>#REF!</v>
      </c>
      <c r="AZ274" s="115" t="e">
        <f t="shared" si="113"/>
        <v>#REF!</v>
      </c>
      <c r="BA274" s="115" t="e">
        <f t="shared" si="113"/>
        <v>#REF!</v>
      </c>
      <c r="BB274" s="115" t="e">
        <f t="shared" si="113"/>
        <v>#REF!</v>
      </c>
    </row>
    <row r="275" spans="2:54" ht="16.5" x14ac:dyDescent="0.3">
      <c r="B275" s="111"/>
      <c r="C275" s="116"/>
      <c r="D275" s="118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</row>
    <row r="276" spans="2:54" ht="16.5" x14ac:dyDescent="0.3">
      <c r="B276" s="111"/>
      <c r="C276" s="114" t="s">
        <v>219</v>
      </c>
      <c r="D276" s="118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</row>
    <row r="277" spans="2:54" ht="16.5" x14ac:dyDescent="0.3">
      <c r="B277" s="111"/>
      <c r="C277" s="119" t="s">
        <v>220</v>
      </c>
      <c r="D277" s="118" t="e">
        <f ca="1">SUM(D264:D274)-SUM(D254:D256)</f>
        <v>#REF!</v>
      </c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</row>
    <row r="278" spans="2:54" ht="16.5" x14ac:dyDescent="0.3">
      <c r="B278" s="111"/>
      <c r="C278" s="114"/>
      <c r="D278" s="118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</row>
    <row r="279" spans="2:54" ht="16.5" x14ac:dyDescent="0.3">
      <c r="B279" s="111"/>
      <c r="C279" s="114" t="s">
        <v>41</v>
      </c>
      <c r="D279" s="118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</row>
    <row r="280" spans="2:54" ht="16.5" x14ac:dyDescent="0.3">
      <c r="B280" s="111"/>
      <c r="C280" s="116" t="s">
        <v>41</v>
      </c>
      <c r="D280" s="118" t="e">
        <f>SUM(E280:BB280)</f>
        <v>#REF!</v>
      </c>
      <c r="E280" s="118" t="e">
        <f t="shared" ref="E280:AJ280" si="114">adVmFuiteEcoCalc*adDeflFin</f>
        <v>#REF!</v>
      </c>
      <c r="F280" s="118" t="e">
        <f t="shared" si="114"/>
        <v>#REF!</v>
      </c>
      <c r="G280" s="118" t="e">
        <f t="shared" si="114"/>
        <v>#REF!</v>
      </c>
      <c r="H280" s="118" t="e">
        <f t="shared" si="114"/>
        <v>#REF!</v>
      </c>
      <c r="I280" s="118" t="e">
        <f t="shared" si="114"/>
        <v>#REF!</v>
      </c>
      <c r="J280" s="118" t="e">
        <f t="shared" si="114"/>
        <v>#REF!</v>
      </c>
      <c r="K280" s="118" t="e">
        <f t="shared" si="114"/>
        <v>#REF!</v>
      </c>
      <c r="L280" s="118" t="e">
        <f t="shared" si="114"/>
        <v>#REF!</v>
      </c>
      <c r="M280" s="118" t="e">
        <f t="shared" si="114"/>
        <v>#REF!</v>
      </c>
      <c r="N280" s="118" t="e">
        <f t="shared" si="114"/>
        <v>#REF!</v>
      </c>
      <c r="O280" s="118" t="e">
        <f t="shared" si="114"/>
        <v>#REF!</v>
      </c>
      <c r="P280" s="118" t="e">
        <f t="shared" si="114"/>
        <v>#REF!</v>
      </c>
      <c r="Q280" s="118" t="e">
        <f t="shared" si="114"/>
        <v>#REF!</v>
      </c>
      <c r="R280" s="118" t="e">
        <f t="shared" si="114"/>
        <v>#REF!</v>
      </c>
      <c r="S280" s="118" t="e">
        <f t="shared" si="114"/>
        <v>#REF!</v>
      </c>
      <c r="T280" s="118" t="e">
        <f t="shared" si="114"/>
        <v>#REF!</v>
      </c>
      <c r="U280" s="118" t="e">
        <f t="shared" si="114"/>
        <v>#REF!</v>
      </c>
      <c r="V280" s="118" t="e">
        <f t="shared" si="114"/>
        <v>#REF!</v>
      </c>
      <c r="W280" s="118" t="e">
        <f t="shared" si="114"/>
        <v>#REF!</v>
      </c>
      <c r="X280" s="118" t="e">
        <f t="shared" si="114"/>
        <v>#REF!</v>
      </c>
      <c r="Y280" s="118" t="e">
        <f t="shared" si="114"/>
        <v>#REF!</v>
      </c>
      <c r="Z280" s="118" t="e">
        <f t="shared" si="114"/>
        <v>#REF!</v>
      </c>
      <c r="AA280" s="118" t="e">
        <f t="shared" si="114"/>
        <v>#REF!</v>
      </c>
      <c r="AB280" s="118" t="e">
        <f t="shared" si="114"/>
        <v>#REF!</v>
      </c>
      <c r="AC280" s="118" t="e">
        <f t="shared" si="114"/>
        <v>#REF!</v>
      </c>
      <c r="AD280" s="118" t="e">
        <f t="shared" si="114"/>
        <v>#REF!</v>
      </c>
      <c r="AE280" s="118" t="e">
        <f t="shared" si="114"/>
        <v>#REF!</v>
      </c>
      <c r="AF280" s="118" t="e">
        <f t="shared" si="114"/>
        <v>#REF!</v>
      </c>
      <c r="AG280" s="118" t="e">
        <f t="shared" si="114"/>
        <v>#REF!</v>
      </c>
      <c r="AH280" s="118" t="e">
        <f t="shared" si="114"/>
        <v>#REF!</v>
      </c>
      <c r="AI280" s="118" t="e">
        <f t="shared" si="114"/>
        <v>#REF!</v>
      </c>
      <c r="AJ280" s="118" t="e">
        <f t="shared" si="114"/>
        <v>#REF!</v>
      </c>
      <c r="AK280" s="118" t="e">
        <f t="shared" ref="AK280:BB280" si="115">adVmFuiteEcoCalc*adDeflFin</f>
        <v>#REF!</v>
      </c>
      <c r="AL280" s="118" t="e">
        <f t="shared" si="115"/>
        <v>#REF!</v>
      </c>
      <c r="AM280" s="118" t="e">
        <f t="shared" si="115"/>
        <v>#REF!</v>
      </c>
      <c r="AN280" s="118" t="e">
        <f t="shared" si="115"/>
        <v>#REF!</v>
      </c>
      <c r="AO280" s="118" t="e">
        <f t="shared" si="115"/>
        <v>#REF!</v>
      </c>
      <c r="AP280" s="118" t="e">
        <f t="shared" si="115"/>
        <v>#REF!</v>
      </c>
      <c r="AQ280" s="118" t="e">
        <f t="shared" si="115"/>
        <v>#REF!</v>
      </c>
      <c r="AR280" s="118" t="e">
        <f t="shared" si="115"/>
        <v>#REF!</v>
      </c>
      <c r="AS280" s="118" t="e">
        <f t="shared" si="115"/>
        <v>#REF!</v>
      </c>
      <c r="AT280" s="118" t="e">
        <f t="shared" si="115"/>
        <v>#REF!</v>
      </c>
      <c r="AU280" s="118" t="e">
        <f t="shared" si="115"/>
        <v>#REF!</v>
      </c>
      <c r="AV280" s="118" t="e">
        <f t="shared" si="115"/>
        <v>#REF!</v>
      </c>
      <c r="AW280" s="118" t="e">
        <f t="shared" si="115"/>
        <v>#REF!</v>
      </c>
      <c r="AX280" s="118" t="e">
        <f t="shared" si="115"/>
        <v>#REF!</v>
      </c>
      <c r="AY280" s="118" t="e">
        <f t="shared" si="115"/>
        <v>#REF!</v>
      </c>
      <c r="AZ280" s="118" t="e">
        <f t="shared" si="115"/>
        <v>#REF!</v>
      </c>
      <c r="BA280" s="118" t="e">
        <f t="shared" si="115"/>
        <v>#REF!</v>
      </c>
      <c r="BB280" s="118" t="e">
        <f t="shared" si="115"/>
        <v>#REF!</v>
      </c>
    </row>
    <row r="281" spans="2:54" ht="16.5" x14ac:dyDescent="0.3">
      <c r="B281" s="111"/>
      <c r="C281" s="114"/>
      <c r="D281" s="118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</row>
    <row r="282" spans="2:54" ht="16.5" x14ac:dyDescent="0.3">
      <c r="B282" s="111"/>
      <c r="C282" s="114" t="s">
        <v>221</v>
      </c>
      <c r="D282" s="118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</row>
    <row r="283" spans="2:54" ht="16.5" x14ac:dyDescent="0.3">
      <c r="B283" s="111"/>
      <c r="C283" s="119" t="s">
        <v>222</v>
      </c>
      <c r="D283" s="118" t="e">
        <f ca="1">IF(adProjCdCanton&lt;&gt;"Fond_UC",D77,D98)-D260-D277+D280</f>
        <v>#REF!</v>
      </c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</row>
    <row r="284" spans="2:54" ht="16.5" x14ac:dyDescent="0.3">
      <c r="B284" s="111"/>
      <c r="C284" s="119" t="s">
        <v>223</v>
      </c>
      <c r="D284" s="120" t="e">
        <f ca="1">ABS(D283)&lt;10</f>
        <v>#REF!</v>
      </c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</row>
    <row r="285" spans="2:54" ht="16.5" x14ac:dyDescent="0.3">
      <c r="B285" s="111"/>
      <c r="C285" s="116"/>
      <c r="D285" s="118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</row>
  </sheetData>
  <conditionalFormatting sqref="E34:BB36 E39:BB40 D125:BB125 E155:BB156">
    <cfRule type="cellIs" dxfId="55" priority="55" operator="equal">
      <formula>FALSE</formula>
    </cfRule>
    <cfRule type="cellIs" dxfId="54" priority="56" operator="equal">
      <formula>TRUE</formula>
    </cfRule>
  </conditionalFormatting>
  <conditionalFormatting sqref="E144:BB144">
    <cfRule type="cellIs" dxfId="53" priority="53" operator="equal">
      <formula>FALSE</formula>
    </cfRule>
    <cfRule type="cellIs" dxfId="52" priority="54" operator="equal">
      <formula>TRUE</formula>
    </cfRule>
  </conditionalFormatting>
  <conditionalFormatting sqref="D200:BB200">
    <cfRule type="cellIs" dxfId="51" priority="51" operator="equal">
      <formula>FALSE</formula>
    </cfRule>
    <cfRule type="cellIs" dxfId="50" priority="52" operator="equal">
      <formula>TRUE</formula>
    </cfRule>
  </conditionalFormatting>
  <conditionalFormatting sqref="E202:BB202">
    <cfRule type="cellIs" dxfId="49" priority="49" operator="equal">
      <formula>FALSE</formula>
    </cfRule>
    <cfRule type="cellIs" dxfId="48" priority="50" operator="equal">
      <formula>TRUE</formula>
    </cfRule>
  </conditionalFormatting>
  <conditionalFormatting sqref="D206:BB206">
    <cfRule type="cellIs" dxfId="47" priority="47" operator="equal">
      <formula>FALSE</formula>
    </cfRule>
    <cfRule type="cellIs" dxfId="46" priority="48" operator="equal">
      <formula>TRUE</formula>
    </cfRule>
  </conditionalFormatting>
  <conditionalFormatting sqref="D233:BB233">
    <cfRule type="cellIs" dxfId="45" priority="45" operator="equal">
      <formula>FALSE</formula>
    </cfRule>
    <cfRule type="cellIs" dxfId="44" priority="46" operator="equal">
      <formula>TRUE</formula>
    </cfRule>
  </conditionalFormatting>
  <conditionalFormatting sqref="F67:BB70">
    <cfRule type="cellIs" dxfId="43" priority="43" operator="equal">
      <formula>FALSE</formula>
    </cfRule>
    <cfRule type="cellIs" dxfId="42" priority="44" operator="equal">
      <formula>TRUE</formula>
    </cfRule>
  </conditionalFormatting>
  <conditionalFormatting sqref="D261">
    <cfRule type="cellIs" dxfId="41" priority="41" operator="equal">
      <formula>FALSE</formula>
    </cfRule>
    <cfRule type="cellIs" dxfId="40" priority="42" operator="equal">
      <formula>TRUE</formula>
    </cfRule>
  </conditionalFormatting>
  <conditionalFormatting sqref="E67:BB70">
    <cfRule type="cellIs" dxfId="39" priority="39" operator="equal">
      <formula>FALSE</formula>
    </cfRule>
    <cfRule type="cellIs" dxfId="38" priority="40" operator="equal">
      <formula>TRUE</formula>
    </cfRule>
  </conditionalFormatting>
  <conditionalFormatting sqref="E177:BB179">
    <cfRule type="cellIs" dxfId="37" priority="37" operator="equal">
      <formula>FALSE</formula>
    </cfRule>
    <cfRule type="cellIs" dxfId="36" priority="38" operator="equal">
      <formula>TRUE</formula>
    </cfRule>
  </conditionalFormatting>
  <conditionalFormatting sqref="D34">
    <cfRule type="cellIs" dxfId="35" priority="35" operator="equal">
      <formula>FALSE</formula>
    </cfRule>
    <cfRule type="cellIs" dxfId="34" priority="36" operator="equal">
      <formula>TRUE</formula>
    </cfRule>
  </conditionalFormatting>
  <conditionalFormatting sqref="D40">
    <cfRule type="cellIs" dxfId="33" priority="33" operator="equal">
      <formula>FALSE</formula>
    </cfRule>
    <cfRule type="cellIs" dxfId="32" priority="34" operator="equal">
      <formula>TRUE</formula>
    </cfRule>
  </conditionalFormatting>
  <conditionalFormatting sqref="D67">
    <cfRule type="cellIs" dxfId="31" priority="31" operator="equal">
      <formula>FALSE</formula>
    </cfRule>
    <cfRule type="cellIs" dxfId="30" priority="32" operator="equal">
      <formula>TRUE</formula>
    </cfRule>
  </conditionalFormatting>
  <conditionalFormatting sqref="D68">
    <cfRule type="cellIs" dxfId="29" priority="29" operator="equal">
      <formula>FALSE</formula>
    </cfRule>
    <cfRule type="cellIs" dxfId="28" priority="30" operator="equal">
      <formula>TRUE</formula>
    </cfRule>
  </conditionalFormatting>
  <conditionalFormatting sqref="D69">
    <cfRule type="cellIs" dxfId="27" priority="27" operator="equal">
      <formula>FALSE</formula>
    </cfRule>
    <cfRule type="cellIs" dxfId="26" priority="28" operator="equal">
      <formula>TRUE</formula>
    </cfRule>
  </conditionalFormatting>
  <conditionalFormatting sqref="D70">
    <cfRule type="cellIs" dxfId="25" priority="25" operator="equal">
      <formula>FALSE</formula>
    </cfRule>
    <cfRule type="cellIs" dxfId="24" priority="26" operator="equal">
      <formula>TRUE</formula>
    </cfRule>
  </conditionalFormatting>
  <conditionalFormatting sqref="D144">
    <cfRule type="cellIs" dxfId="23" priority="23" operator="equal">
      <formula>FALSE</formula>
    </cfRule>
    <cfRule type="cellIs" dxfId="22" priority="24" operator="equal">
      <formula>TRUE</formula>
    </cfRule>
  </conditionalFormatting>
  <conditionalFormatting sqref="D177:D179">
    <cfRule type="cellIs" dxfId="21" priority="21" operator="equal">
      <formula>FALSE</formula>
    </cfRule>
    <cfRule type="cellIs" dxfId="20" priority="22" operator="equal">
      <formula>TRUE</formula>
    </cfRule>
  </conditionalFormatting>
  <conditionalFormatting sqref="D202">
    <cfRule type="cellIs" dxfId="19" priority="19" operator="equal">
      <formula>FALSE</formula>
    </cfRule>
    <cfRule type="cellIs" dxfId="18" priority="20" operator="equal">
      <formula>TRUE</formula>
    </cfRule>
  </conditionalFormatting>
  <conditionalFormatting sqref="E52:BB5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D6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D52:D54">
    <cfRule type="cellIs" dxfId="13" priority="13" operator="equal">
      <formula>FALSE</formula>
    </cfRule>
    <cfRule type="cellIs" dxfId="12" priority="14" operator="equal">
      <formula>TRUE</formula>
    </cfRule>
  </conditionalFormatting>
  <conditionalFormatting sqref="E89:BB89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D89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E162:BB162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D16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D284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E111:BB111">
    <cfRule type="cellIs" dxfId="1" priority="1" operator="equal">
      <formula>FALSE</formula>
    </cfRule>
    <cfRule type="cellIs" dxfId="0" priority="2" operator="equal">
      <formula>TRUE</formula>
    </cfRule>
  </conditionalFormatting>
  <dataValidations count="3">
    <dataValidation type="list" allowBlank="1" showInputMessage="1" showErrorMessage="1" sqref="D3" xr:uid="{BA1B5B26-13A0-4649-8B72-119B8DB6136A}">
      <formula1>"1,2,3"</formula1>
    </dataValidation>
    <dataValidation type="list" allowBlank="1" showInputMessage="1" showErrorMessage="1" sqref="D2" xr:uid="{B200F755-97A6-440A-8E2D-C043BDBC4813}">
      <formula1>"CENTRAL"</formula1>
    </dataValidation>
    <dataValidation type="list" allowBlank="1" showInputMessage="1" showErrorMessage="1" sqref="D4" xr:uid="{699C6CD6-CBC8-43F4-9A93-72EEE99B950E}">
      <formula1>"AAVI,FONLIB,Fond_EURO,Fond_UC"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serListesDeroulantes">
                <anchor moveWithCells="1" sizeWithCells="1">
                  <from>
                    <xdr:col>4</xdr:col>
                    <xdr:colOff>390525</xdr:colOff>
                    <xdr:row>2</xdr:row>
                    <xdr:rowOff>9525</xdr:rowOff>
                  </from>
                  <to>
                    <xdr:col>6</xdr:col>
                    <xdr:colOff>657225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87F88-FC78-45F4-8477-1C618658E2D9}">
  <sheetPr codeName="Feuil2">
    <tabColor theme="4"/>
  </sheetPr>
  <dimension ref="A1"/>
  <sheetViews>
    <sheetView workbookViewId="0">
      <selection activeCell="F15" sqref="F1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5EF7-4AAA-47B2-87A8-75B74A1E65CE}">
  <sheetPr codeName="Feuil3">
    <tabColor theme="4"/>
  </sheetPr>
  <dimension ref="A1"/>
  <sheetViews>
    <sheetView workbookViewId="0">
      <selection activeCell="C55" sqref="C55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63DF-16AF-4764-99C5-35A9BA6EEC5C}">
  <sheetPr codeName="Feuil4">
    <tabColor theme="4"/>
  </sheetPr>
  <dimension ref="A1"/>
  <sheetViews>
    <sheetView workbookViewId="0">
      <selection activeCell="F15" sqref="F15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51C68-5AAA-4590-A9A3-4050128B1FA8}">
  <sheetPr codeName="Feuil5">
    <tabColor theme="4"/>
  </sheetPr>
  <dimension ref="A1"/>
  <sheetViews>
    <sheetView workbookViewId="0">
      <selection activeCell="F15" sqref="F15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67</vt:i4>
      </vt:variant>
    </vt:vector>
  </HeadingPairs>
  <TitlesOfParts>
    <vt:vector size="72" baseType="lpstr">
      <vt:lpstr>AnalyseDeterministe</vt:lpstr>
      <vt:lpstr>PrdAdBilan</vt:lpstr>
      <vt:lpstr>PrdAdPassifEp</vt:lpstr>
      <vt:lpstr>PrdAdActif</vt:lpstr>
      <vt:lpstr>PrdAdPpb</vt:lpstr>
      <vt:lpstr>adBilanCapPropres</vt:lpstr>
      <vt:lpstr>adBilanFuite</vt:lpstr>
      <vt:lpstr>adBilanFuiteCalc</vt:lpstr>
      <vt:lpstr>adBilanPpb</vt:lpstr>
      <vt:lpstr>adBilanPpbCalc</vt:lpstr>
      <vt:lpstr>adBilanPpbDelta</vt:lpstr>
      <vt:lpstr>adBilanPpbPrec</vt:lpstr>
      <vt:lpstr>adBilanResCapi</vt:lpstr>
      <vt:lpstr>adBilanResCapiPrec</vt:lpstr>
      <vt:lpstr>adBilanVcPassifTot</vt:lpstr>
      <vt:lpstr>adBilanVcTot</vt:lpstr>
      <vt:lpstr>adCfPassifPerf</vt:lpstr>
      <vt:lpstr>adChgtPfi</vt:lpstr>
      <vt:lpstr>adChgtVcMoy</vt:lpstr>
      <vt:lpstr>adCrFi</vt:lpstr>
      <vt:lpstr>adCrFiCalc</vt:lpstr>
      <vt:lpstr>adCrSoldePb</vt:lpstr>
      <vt:lpstr>adCrTech</vt:lpstr>
      <vt:lpstr>adDeflDebut</vt:lpstr>
      <vt:lpstr>adDeflFin</vt:lpstr>
      <vt:lpstr>adFacteurInflation</vt:lpstr>
      <vt:lpstr>adFgseEu</vt:lpstr>
      <vt:lpstr>adFgseUc</vt:lpstr>
      <vt:lpstr>adFgxPlct</vt:lpstr>
      <vt:lpstr>adFgxPm</vt:lpstr>
      <vt:lpstr>adFgxPrst</vt:lpstr>
      <vt:lpstr>adFgxTot</vt:lpstr>
      <vt:lpstr>adMrgBeg</vt:lpstr>
      <vt:lpstr>adPfisPerfObligation</vt:lpstr>
      <vt:lpstr>adPfisPerfTotal</vt:lpstr>
      <vt:lpstr>adPfisStratInvTotal</vt:lpstr>
      <vt:lpstr>adPfisTotObligation</vt:lpstr>
      <vt:lpstr>adPfisTotTot</vt:lpstr>
      <vt:lpstr>adPmDebut</vt:lpstr>
      <vt:lpstr>adPmFin</vt:lpstr>
      <vt:lpstr>adPmFinCalc</vt:lpstr>
      <vt:lpstr>adPmPb</vt:lpstr>
      <vt:lpstr>adPmPerf</vt:lpstr>
      <vt:lpstr>adPmvlFin</vt:lpstr>
      <vt:lpstr>adProjCdCanton</vt:lpstr>
      <vt:lpstr>adProjChocS2</vt:lpstr>
      <vt:lpstr>adProjChocS2Gse</vt:lpstr>
      <vt:lpstr>adProjHorizon</vt:lpstr>
      <vt:lpstr>adProjIteration</vt:lpstr>
      <vt:lpstr>adProjScenario</vt:lpstr>
      <vt:lpstr>adPrstArrNet</vt:lpstr>
      <vt:lpstr>adPrstDcNet</vt:lpstr>
      <vt:lpstr>adPrstRtNet</vt:lpstr>
      <vt:lpstr>adPrstTotChgt</vt:lpstr>
      <vt:lpstr>adPrstTotNet</vt:lpstr>
      <vt:lpstr>adReportPertesPrec</vt:lpstr>
      <vt:lpstr>adResCapiDelta</vt:lpstr>
      <vt:lpstr>adVcFinTotPrec</vt:lpstr>
      <vt:lpstr>adVcPerfOblig</vt:lpstr>
      <vt:lpstr>adVcPerfTotal</vt:lpstr>
      <vt:lpstr>adVcStratInvFuite</vt:lpstr>
      <vt:lpstr>adVcStratInvTotal</vt:lpstr>
      <vt:lpstr>adVmFinTotPrec</vt:lpstr>
      <vt:lpstr>adVmFuiteEcoCalc</vt:lpstr>
      <vt:lpstr>adVmPerfOblig</vt:lpstr>
      <vt:lpstr>adVmPerfTot</vt:lpstr>
      <vt:lpstr>adVmStratInvAction</vt:lpstr>
      <vt:lpstr>adVmStratInvCash</vt:lpstr>
      <vt:lpstr>adVmStratInvImmobilier</vt:lpstr>
      <vt:lpstr>adVmStratInvObligation</vt:lpstr>
      <vt:lpstr>adVmStratInvTot</vt:lpstr>
      <vt:lpstr>prdAdChocS2Inflation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Aldebert, Lionel</dc:creator>
  <cp:lastModifiedBy>Aldebert, Lionel</cp:lastModifiedBy>
  <dcterms:created xsi:type="dcterms:W3CDTF">2015-06-05T18:17:20Z</dcterms:created>
  <dcterms:modified xsi:type="dcterms:W3CDTF">2024-07-19T11:47:26Z</dcterms:modified>
</cp:coreProperties>
</file>